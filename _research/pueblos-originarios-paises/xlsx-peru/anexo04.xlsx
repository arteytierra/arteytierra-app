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trujillo\Desktop\Libros Electronicos\LE Identificación Etnica 2018\cuadros\"/>
    </mc:Choice>
  </mc:AlternateContent>
  <bookViews>
    <workbookView xWindow="0" yWindow="120" windowWidth="24240" windowHeight="12465" tabRatio="838" activeTab="1"/>
  </bookViews>
  <sheets>
    <sheet name="POBLACIÓN AMAZONICA" sheetId="1" r:id="rId1"/>
    <sheet name="Ane. 2.1" sheetId="16" r:id="rId2"/>
    <sheet name="Ane. 2.2" sheetId="4" r:id="rId3"/>
    <sheet name="Ane. 2.3" sheetId="3" r:id="rId4"/>
    <sheet name="Ane. 2.4" sheetId="5" r:id="rId5"/>
    <sheet name="Ane. 2.5" sheetId="36" r:id="rId6"/>
    <sheet name="Ane. 2.6" sheetId="6" r:id="rId7"/>
    <sheet name="Ane. 2.7" sheetId="8" r:id="rId8"/>
    <sheet name="Ane. 2.8" sheetId="7" r:id="rId9"/>
    <sheet name="Ane. 2.9" sheetId="9" r:id="rId10"/>
    <sheet name="Ane. 2.10" sheetId="10" r:id="rId11"/>
    <sheet name="Ane. 2.11" sheetId="35" r:id="rId12"/>
    <sheet name="Ane. 2.12" sheetId="34" r:id="rId13"/>
  </sheets>
  <definedNames>
    <definedName name="_xlnm._FilterDatabase" localSheetId="1" hidden="1">'Ane. 2.1'!$B$1:$B$246</definedName>
    <definedName name="_xlnm._FilterDatabase" localSheetId="10" hidden="1">'Ane. 2.10'!$B$1:$B$152</definedName>
    <definedName name="_xlnm._FilterDatabase" localSheetId="11" hidden="1">'Ane. 2.11'!$B$1:$B$133</definedName>
    <definedName name="_xlnm._FilterDatabase" localSheetId="12" hidden="1">'Ane. 2.12'!$B$1:$B$197</definedName>
    <definedName name="_xlnm._FilterDatabase" localSheetId="2" hidden="1">'Ane. 2.2'!$B$1:$B$246</definedName>
    <definedName name="_xlnm._FilterDatabase" localSheetId="3" hidden="1">'Ane. 2.3'!$A$1:$A$595</definedName>
    <definedName name="_xlnm._FilterDatabase" localSheetId="4" hidden="1">'Ane. 2.4'!$B$1:$B$148</definedName>
    <definedName name="_xlnm._FilterDatabase" localSheetId="5" hidden="1">'Ane. 2.5'!$A$1:$A$232</definedName>
    <definedName name="_xlnm._FilterDatabase" localSheetId="6" hidden="1">'Ane. 2.6'!$B$1:$B$148</definedName>
    <definedName name="_xlnm._FilterDatabase" localSheetId="7" hidden="1">'Ane. 2.7'!$B$1:$B$296</definedName>
    <definedName name="_xlnm._FilterDatabase" localSheetId="8" hidden="1">'Ane. 2.8'!$B$1:$B$325</definedName>
    <definedName name="_xlnm._FilterDatabase" localSheetId="9" hidden="1">'Ane. 2.9'!$B$1:$B$178</definedName>
    <definedName name="_xlnm.Print_Area" localSheetId="1">'Ane. 2.1'!$A$1:$G$246</definedName>
    <definedName name="_xlnm.Print_Area" localSheetId="10">'Ane. 2.10'!$A$1:$S$151</definedName>
    <definedName name="_xlnm.Print_Area" localSheetId="11">'Ane. 2.11'!$A$1:$G$132</definedName>
    <definedName name="_xlnm.Print_Area" localSheetId="12">'Ane. 2.12'!$A$1:$G$196</definedName>
    <definedName name="_xlnm.Print_Area" localSheetId="2">'Ane. 2.2'!$A$1:$G$246</definedName>
    <definedName name="_xlnm.Print_Area" localSheetId="3">'Ane. 2.3'!$A$1:$G$595</definedName>
    <definedName name="_xlnm.Print_Area" localSheetId="4">'Ane. 2.4'!$A$1:$G$148</definedName>
    <definedName name="_xlnm.Print_Area" localSheetId="5">'Ane. 2.5'!$A$1:$G$232</definedName>
    <definedName name="_xlnm.Print_Area" localSheetId="6">'Ane. 2.6'!$A$1:$G$148</definedName>
    <definedName name="_xlnm.Print_Area" localSheetId="7">'Ane. 2.7'!$A$1:$G$296</definedName>
    <definedName name="_xlnm.Print_Area" localSheetId="8">'Ane. 2.8'!$A$1:$G$324</definedName>
    <definedName name="_xlnm.Print_Area" localSheetId="9">'Ane. 2.9'!$A$1:$G$178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3" i="9" l="1"/>
  <c r="A138" i="34" l="1"/>
  <c r="A70" i="34"/>
  <c r="S133" i="10"/>
  <c r="R133" i="10"/>
  <c r="P133" i="10"/>
  <c r="O133" i="10"/>
  <c r="M133" i="10"/>
  <c r="L133" i="10"/>
  <c r="I133" i="10"/>
  <c r="H133" i="10"/>
  <c r="F133" i="10"/>
  <c r="E133" i="10"/>
  <c r="C133" i="10"/>
  <c r="B133" i="10"/>
  <c r="R132" i="10"/>
  <c r="O132" i="10"/>
  <c r="L132" i="10"/>
  <c r="H132" i="10"/>
  <c r="E132" i="10"/>
  <c r="B132" i="10"/>
  <c r="B131" i="10"/>
  <c r="A131" i="10"/>
  <c r="A129" i="10"/>
  <c r="A128" i="10"/>
  <c r="A127" i="10"/>
  <c r="S72" i="10"/>
  <c r="R72" i="10"/>
  <c r="P72" i="10"/>
  <c r="O72" i="10"/>
  <c r="M72" i="10"/>
  <c r="L72" i="10"/>
  <c r="I72" i="10"/>
  <c r="H72" i="10"/>
  <c r="F72" i="10"/>
  <c r="E72" i="10"/>
  <c r="C72" i="10"/>
  <c r="B72" i="10"/>
  <c r="R71" i="10"/>
  <c r="O71" i="10"/>
  <c r="L71" i="10"/>
  <c r="H71" i="10"/>
  <c r="E71" i="10"/>
  <c r="B71" i="10"/>
  <c r="B70" i="10"/>
  <c r="A70" i="10"/>
  <c r="A68" i="10"/>
  <c r="A67" i="10"/>
  <c r="G198" i="36"/>
  <c r="F198" i="36"/>
  <c r="E198" i="36"/>
  <c r="D198" i="36"/>
  <c r="C198" i="36"/>
  <c r="B198" i="36"/>
  <c r="B197" i="36"/>
  <c r="A197" i="36"/>
  <c r="A195" i="36"/>
  <c r="A194" i="36"/>
  <c r="A193" i="36"/>
  <c r="G134" i="36"/>
  <c r="F134" i="36"/>
  <c r="E134" i="36"/>
  <c r="D134" i="36"/>
  <c r="C134" i="36"/>
  <c r="B134" i="36"/>
  <c r="B133" i="36"/>
  <c r="A133" i="36"/>
  <c r="A131" i="36"/>
  <c r="A130" i="36"/>
  <c r="A129" i="36"/>
  <c r="G70" i="36"/>
  <c r="F70" i="36"/>
  <c r="E70" i="36"/>
  <c r="D70" i="36"/>
  <c r="C70" i="36"/>
  <c r="B70" i="36"/>
  <c r="B69" i="36"/>
  <c r="A69" i="36"/>
  <c r="A67" i="36"/>
  <c r="A66" i="36"/>
  <c r="A65" i="36" l="1"/>
  <c r="G142" i="9" l="1"/>
  <c r="F142" i="9"/>
  <c r="E142" i="9"/>
  <c r="D142" i="9"/>
  <c r="C142" i="9"/>
  <c r="B142" i="9"/>
  <c r="B141" i="9"/>
  <c r="A141" i="9"/>
  <c r="A139" i="34" l="1"/>
  <c r="A137" i="34"/>
  <c r="G142" i="34"/>
  <c r="F142" i="34"/>
  <c r="E142" i="34"/>
  <c r="D142" i="34"/>
  <c r="C142" i="34"/>
  <c r="B142" i="34"/>
  <c r="B141" i="34"/>
  <c r="A141" i="34"/>
  <c r="B73" i="34"/>
  <c r="G74" i="34"/>
  <c r="F74" i="34"/>
  <c r="E74" i="34"/>
  <c r="D74" i="34"/>
  <c r="C74" i="34"/>
  <c r="B74" i="34"/>
  <c r="A73" i="34"/>
  <c r="A71" i="34"/>
  <c r="A69" i="34"/>
  <c r="A69" i="35"/>
  <c r="A70" i="35"/>
  <c r="A71" i="35"/>
  <c r="G74" i="35"/>
  <c r="F74" i="35"/>
  <c r="E74" i="35"/>
  <c r="D74" i="35"/>
  <c r="C74" i="35"/>
  <c r="B74" i="35"/>
  <c r="B73" i="35"/>
  <c r="A73" i="35"/>
  <c r="A66" i="10" l="1"/>
  <c r="A139" i="9"/>
  <c r="A138" i="9"/>
  <c r="A137" i="9"/>
  <c r="G74" i="9"/>
  <c r="F74" i="9"/>
  <c r="E74" i="9"/>
  <c r="D74" i="9"/>
  <c r="C74" i="9"/>
  <c r="B74" i="9"/>
  <c r="B73" i="9"/>
  <c r="A73" i="9"/>
  <c r="A71" i="9"/>
  <c r="A70" i="9"/>
  <c r="A69" i="9"/>
  <c r="G278" i="7"/>
  <c r="F278" i="7"/>
  <c r="E278" i="7"/>
  <c r="D278" i="7"/>
  <c r="C278" i="7"/>
  <c r="B278" i="7"/>
  <c r="B277" i="7"/>
  <c r="A277" i="7"/>
  <c r="A275" i="7"/>
  <c r="A274" i="7"/>
  <c r="A273" i="7"/>
  <c r="G210" i="7"/>
  <c r="F210" i="7"/>
  <c r="E210" i="7"/>
  <c r="D210" i="7"/>
  <c r="C210" i="7"/>
  <c r="B210" i="7"/>
  <c r="B209" i="7"/>
  <c r="A209" i="7"/>
  <c r="A207" i="7"/>
  <c r="A206" i="7"/>
  <c r="A205" i="7"/>
  <c r="G142" i="7"/>
  <c r="F142" i="7"/>
  <c r="E142" i="7"/>
  <c r="D142" i="7"/>
  <c r="C142" i="7"/>
  <c r="B142" i="7"/>
  <c r="B141" i="7"/>
  <c r="A141" i="7"/>
  <c r="A139" i="7"/>
  <c r="A138" i="7"/>
  <c r="A137" i="7"/>
  <c r="G74" i="7"/>
  <c r="F74" i="7"/>
  <c r="E74" i="7"/>
  <c r="D74" i="7"/>
  <c r="C74" i="7"/>
  <c r="B74" i="7"/>
  <c r="B73" i="7"/>
  <c r="A73" i="7"/>
  <c r="A71" i="7"/>
  <c r="A70" i="7"/>
  <c r="A69" i="7"/>
  <c r="G254" i="8"/>
  <c r="F254" i="8"/>
  <c r="E254" i="8"/>
  <c r="D254" i="8"/>
  <c r="C254" i="8"/>
  <c r="B254" i="8"/>
  <c r="B253" i="8"/>
  <c r="A253" i="8"/>
  <c r="A251" i="8"/>
  <c r="A250" i="8"/>
  <c r="A249" i="8"/>
  <c r="G192" i="8"/>
  <c r="F192" i="8"/>
  <c r="E192" i="8"/>
  <c r="D192" i="8"/>
  <c r="C192" i="8"/>
  <c r="B192" i="8"/>
  <c r="B191" i="8"/>
  <c r="A191" i="8"/>
  <c r="A189" i="8"/>
  <c r="A188" i="8"/>
  <c r="A187" i="8"/>
  <c r="G130" i="8"/>
  <c r="F130" i="8"/>
  <c r="E130" i="8"/>
  <c r="D130" i="8"/>
  <c r="C130" i="8"/>
  <c r="B130" i="8"/>
  <c r="B129" i="8"/>
  <c r="A129" i="8"/>
  <c r="A127" i="8"/>
  <c r="A126" i="8"/>
  <c r="A125" i="8"/>
  <c r="G68" i="8"/>
  <c r="F68" i="8"/>
  <c r="E68" i="8"/>
  <c r="D68" i="8"/>
  <c r="C68" i="8"/>
  <c r="B68" i="8"/>
  <c r="B67" i="8"/>
  <c r="A67" i="8"/>
  <c r="A65" i="8"/>
  <c r="A64" i="8"/>
  <c r="A63" i="8"/>
  <c r="G138" i="6"/>
  <c r="F138" i="6"/>
  <c r="E138" i="6"/>
  <c r="D138" i="6"/>
  <c r="C138" i="6"/>
  <c r="B138" i="6"/>
  <c r="B137" i="6"/>
  <c r="A137" i="6"/>
  <c r="A135" i="6"/>
  <c r="A134" i="6"/>
  <c r="A133" i="6"/>
  <c r="G70" i="6"/>
  <c r="F70" i="6"/>
  <c r="E70" i="6"/>
  <c r="D70" i="6"/>
  <c r="C70" i="6"/>
  <c r="B70" i="6"/>
  <c r="B69" i="6"/>
  <c r="A69" i="6"/>
  <c r="A67" i="6"/>
  <c r="A66" i="6"/>
  <c r="A65" i="6"/>
  <c r="A135" i="5"/>
  <c r="A134" i="5"/>
  <c r="A133" i="5"/>
  <c r="A67" i="5"/>
  <c r="A66" i="5"/>
  <c r="A65" i="5"/>
  <c r="G138" i="5"/>
  <c r="F138" i="5"/>
  <c r="E138" i="5"/>
  <c r="D138" i="5"/>
  <c r="C138" i="5"/>
  <c r="B138" i="5"/>
  <c r="B137" i="5"/>
  <c r="A137" i="5"/>
  <c r="G70" i="5"/>
  <c r="F70" i="5"/>
  <c r="E70" i="5"/>
  <c r="D70" i="5"/>
  <c r="C70" i="5"/>
  <c r="B70" i="5"/>
  <c r="B69" i="5"/>
  <c r="A69" i="5"/>
  <c r="G198" i="4"/>
  <c r="F198" i="4"/>
  <c r="E198" i="4"/>
  <c r="D198" i="4"/>
  <c r="C198" i="4"/>
  <c r="B198" i="4"/>
  <c r="B197" i="4"/>
  <c r="A197" i="4"/>
  <c r="A195" i="4"/>
  <c r="A194" i="4"/>
  <c r="A193" i="4"/>
  <c r="G134" i="4"/>
  <c r="F134" i="4"/>
  <c r="E134" i="4"/>
  <c r="D134" i="4"/>
  <c r="C134" i="4"/>
  <c r="B134" i="4"/>
  <c r="B133" i="4"/>
  <c r="A133" i="4"/>
  <c r="A131" i="4"/>
  <c r="A130" i="4"/>
  <c r="A129" i="4"/>
  <c r="A67" i="4"/>
  <c r="A66" i="4"/>
  <c r="A65" i="4"/>
  <c r="G70" i="4"/>
  <c r="F70" i="4"/>
  <c r="E70" i="4"/>
  <c r="D70" i="4"/>
  <c r="C70" i="4"/>
  <c r="B70" i="4"/>
  <c r="B69" i="4"/>
  <c r="A69" i="4"/>
  <c r="G537" i="3"/>
  <c r="F537" i="3"/>
  <c r="E537" i="3"/>
  <c r="D537" i="3"/>
  <c r="C537" i="3"/>
  <c r="B537" i="3"/>
  <c r="B536" i="3"/>
  <c r="A536" i="3"/>
  <c r="A534" i="3"/>
  <c r="A533" i="3"/>
  <c r="A532" i="3"/>
  <c r="G478" i="3"/>
  <c r="F478" i="3"/>
  <c r="E478" i="3"/>
  <c r="D478" i="3"/>
  <c r="C478" i="3"/>
  <c r="B478" i="3"/>
  <c r="B477" i="3"/>
  <c r="A477" i="3"/>
  <c r="A475" i="3"/>
  <c r="A474" i="3"/>
  <c r="A473" i="3"/>
  <c r="G419" i="3"/>
  <c r="F419" i="3"/>
  <c r="E419" i="3"/>
  <c r="D419" i="3"/>
  <c r="C419" i="3"/>
  <c r="B419" i="3"/>
  <c r="B418" i="3"/>
  <c r="A418" i="3"/>
  <c r="A416" i="3"/>
  <c r="A415" i="3"/>
  <c r="A414" i="3"/>
  <c r="G360" i="3"/>
  <c r="F360" i="3"/>
  <c r="E360" i="3"/>
  <c r="D360" i="3"/>
  <c r="C360" i="3"/>
  <c r="B360" i="3"/>
  <c r="B359" i="3"/>
  <c r="A359" i="3"/>
  <c r="A357" i="3"/>
  <c r="A356" i="3"/>
  <c r="A355" i="3"/>
  <c r="G301" i="3"/>
  <c r="F301" i="3"/>
  <c r="E301" i="3"/>
  <c r="D301" i="3"/>
  <c r="C301" i="3"/>
  <c r="B301" i="3"/>
  <c r="B300" i="3"/>
  <c r="A300" i="3"/>
  <c r="A298" i="3"/>
  <c r="A297" i="3"/>
  <c r="A296" i="3"/>
  <c r="G242" i="3"/>
  <c r="F242" i="3"/>
  <c r="E242" i="3"/>
  <c r="D242" i="3"/>
  <c r="C242" i="3"/>
  <c r="B242" i="3"/>
  <c r="B241" i="3"/>
  <c r="A241" i="3"/>
  <c r="A239" i="3"/>
  <c r="A238" i="3"/>
  <c r="A237" i="3"/>
  <c r="G183" i="3"/>
  <c r="F183" i="3"/>
  <c r="E183" i="3"/>
  <c r="D183" i="3"/>
  <c r="C183" i="3"/>
  <c r="B183" i="3"/>
  <c r="B182" i="3"/>
  <c r="A182" i="3"/>
  <c r="A180" i="3"/>
  <c r="A179" i="3"/>
  <c r="A178" i="3"/>
  <c r="G124" i="3"/>
  <c r="F124" i="3"/>
  <c r="E124" i="3"/>
  <c r="D124" i="3"/>
  <c r="C124" i="3"/>
  <c r="B124" i="3"/>
  <c r="B123" i="3"/>
  <c r="A123" i="3"/>
  <c r="A121" i="3"/>
  <c r="A120" i="3"/>
  <c r="A119" i="3"/>
  <c r="A60" i="3"/>
  <c r="A61" i="3"/>
  <c r="A62" i="3"/>
  <c r="G65" i="3"/>
  <c r="F65" i="3"/>
  <c r="E65" i="3"/>
  <c r="D65" i="3"/>
  <c r="C65" i="3"/>
  <c r="B64" i="3"/>
  <c r="B65" i="3"/>
  <c r="A64" i="3"/>
  <c r="G198" i="16"/>
  <c r="F198" i="16"/>
  <c r="E198" i="16"/>
  <c r="D198" i="16"/>
  <c r="C198" i="16"/>
  <c r="B198" i="16"/>
  <c r="B197" i="16"/>
  <c r="A197" i="16"/>
  <c r="A195" i="16"/>
  <c r="A194" i="16"/>
  <c r="A193" i="16"/>
  <c r="G134" i="16"/>
  <c r="F134" i="16"/>
  <c r="E134" i="16"/>
  <c r="D134" i="16"/>
  <c r="C134" i="16"/>
  <c r="B134" i="16"/>
  <c r="B133" i="16"/>
  <c r="A133" i="16"/>
  <c r="A131" i="16"/>
  <c r="A130" i="16"/>
  <c r="A129" i="16"/>
  <c r="G70" i="16"/>
  <c r="F70" i="16"/>
  <c r="E70" i="16"/>
  <c r="D70" i="16"/>
  <c r="C70" i="16"/>
  <c r="B70" i="16"/>
  <c r="B69" i="16"/>
  <c r="A67" i="16"/>
  <c r="A65" i="16"/>
  <c r="A66" i="16"/>
  <c r="A69" i="16"/>
  <c r="D186" i="34" l="1"/>
  <c r="C186" i="34"/>
  <c r="B186" i="34"/>
  <c r="D180" i="34"/>
  <c r="C180" i="34"/>
  <c r="B180" i="34"/>
  <c r="D174" i="34"/>
  <c r="C174" i="34"/>
  <c r="B174" i="34"/>
  <c r="D168" i="34"/>
  <c r="C168" i="34"/>
  <c r="B168" i="34"/>
  <c r="D162" i="34"/>
  <c r="C162" i="34"/>
  <c r="B162" i="34"/>
  <c r="D156" i="34"/>
  <c r="C156" i="34"/>
  <c r="B156" i="34"/>
  <c r="D150" i="34"/>
  <c r="C150" i="34"/>
  <c r="B150" i="34"/>
  <c r="D144" i="34"/>
  <c r="C144" i="34"/>
  <c r="B144" i="34"/>
  <c r="D130" i="34"/>
  <c r="C130" i="34"/>
  <c r="B130" i="34"/>
  <c r="D124" i="34"/>
  <c r="C124" i="34"/>
  <c r="B124" i="34"/>
  <c r="D118" i="34"/>
  <c r="C118" i="34"/>
  <c r="B118" i="34"/>
  <c r="D112" i="34"/>
  <c r="C112" i="34"/>
  <c r="B112" i="34"/>
  <c r="D106" i="34"/>
  <c r="C106" i="34"/>
  <c r="B106" i="34"/>
  <c r="D100" i="34"/>
  <c r="C100" i="34"/>
  <c r="B100" i="34"/>
  <c r="D94" i="34"/>
  <c r="C94" i="34"/>
  <c r="B94" i="34"/>
  <c r="D88" i="34"/>
  <c r="C88" i="34"/>
  <c r="B88" i="34"/>
  <c r="D82" i="34"/>
  <c r="C82" i="34"/>
  <c r="B82" i="34"/>
  <c r="D76" i="34"/>
  <c r="C76" i="34"/>
  <c r="B76" i="34"/>
  <c r="D62" i="34"/>
  <c r="C62" i="34"/>
  <c r="B62" i="34"/>
  <c r="D56" i="34"/>
  <c r="C56" i="34"/>
  <c r="B56" i="34"/>
  <c r="D50" i="34"/>
  <c r="C50" i="34"/>
  <c r="B50" i="34"/>
  <c r="D44" i="34"/>
  <c r="C44" i="34"/>
  <c r="B44" i="34"/>
  <c r="D38" i="34"/>
  <c r="C38" i="34"/>
  <c r="B38" i="34"/>
  <c r="D32" i="34"/>
  <c r="C32" i="34"/>
  <c r="B32" i="34"/>
  <c r="D26" i="34"/>
  <c r="C26" i="34"/>
  <c r="B26" i="34"/>
  <c r="D20" i="34"/>
  <c r="C20" i="34"/>
  <c r="B20" i="34"/>
  <c r="D14" i="34"/>
  <c r="C14" i="34"/>
  <c r="B14" i="34"/>
  <c r="D8" i="34"/>
  <c r="C8" i="34"/>
  <c r="B8" i="34"/>
  <c r="B8" i="8" l="1"/>
  <c r="C8" i="8"/>
  <c r="D8" i="8"/>
  <c r="G172" i="9" l="1"/>
  <c r="F172" i="9"/>
  <c r="E172" i="9"/>
  <c r="D169" i="9"/>
  <c r="D172" i="9" s="1"/>
  <c r="C169" i="9"/>
  <c r="C172" i="9" s="1"/>
  <c r="B169" i="9"/>
  <c r="B172" i="9" s="1"/>
  <c r="G167" i="9"/>
  <c r="F167" i="9"/>
  <c r="E167" i="9"/>
  <c r="D164" i="9"/>
  <c r="D167" i="9" s="1"/>
  <c r="C164" i="9"/>
  <c r="C167" i="9" s="1"/>
  <c r="B164" i="9"/>
  <c r="B167" i="9" s="1"/>
  <c r="G162" i="9"/>
  <c r="F162" i="9"/>
  <c r="E162" i="9"/>
  <c r="D159" i="9"/>
  <c r="D162" i="9" s="1"/>
  <c r="C159" i="9"/>
  <c r="C162" i="9" s="1"/>
  <c r="B159" i="9"/>
  <c r="B162" i="9" s="1"/>
  <c r="G157" i="9"/>
  <c r="F157" i="9"/>
  <c r="E157" i="9"/>
  <c r="D154" i="9"/>
  <c r="D157" i="9" s="1"/>
  <c r="C154" i="9"/>
  <c r="C157" i="9" s="1"/>
  <c r="B154" i="9"/>
  <c r="B157" i="9" s="1"/>
  <c r="G152" i="9"/>
  <c r="F152" i="9"/>
  <c r="E152" i="9"/>
  <c r="D149" i="9"/>
  <c r="D152" i="9" s="1"/>
  <c r="C149" i="9"/>
  <c r="B149" i="9"/>
  <c r="B152" i="9" s="1"/>
  <c r="G147" i="9"/>
  <c r="F147" i="9"/>
  <c r="E147" i="9"/>
  <c r="D144" i="9"/>
  <c r="D147" i="9" s="1"/>
  <c r="C144" i="9"/>
  <c r="C147" i="9" s="1"/>
  <c r="B144" i="9"/>
  <c r="B147" i="9" s="1"/>
  <c r="G134" i="9"/>
  <c r="F134" i="9"/>
  <c r="E134" i="9"/>
  <c r="D131" i="9"/>
  <c r="D134" i="9" s="1"/>
  <c r="C131" i="9"/>
  <c r="C134" i="9" s="1"/>
  <c r="B131" i="9"/>
  <c r="B134" i="9" s="1"/>
  <c r="G129" i="9"/>
  <c r="F129" i="9"/>
  <c r="E129" i="9"/>
  <c r="D126" i="9"/>
  <c r="D129" i="9" s="1"/>
  <c r="C126" i="9"/>
  <c r="C129" i="9" s="1"/>
  <c r="B126" i="9"/>
  <c r="B129" i="9" s="1"/>
  <c r="G124" i="9"/>
  <c r="F124" i="9"/>
  <c r="E124" i="9"/>
  <c r="D121" i="9"/>
  <c r="D124" i="9" s="1"/>
  <c r="C121" i="9"/>
  <c r="C124" i="9" s="1"/>
  <c r="B121" i="9"/>
  <c r="B124" i="9" s="1"/>
  <c r="G119" i="9"/>
  <c r="F119" i="9"/>
  <c r="E119" i="9"/>
  <c r="D116" i="9"/>
  <c r="D119" i="9" s="1"/>
  <c r="C116" i="9"/>
  <c r="C119" i="9" s="1"/>
  <c r="B116" i="9"/>
  <c r="B119" i="9" s="1"/>
  <c r="G114" i="9"/>
  <c r="F114" i="9"/>
  <c r="E114" i="9"/>
  <c r="D111" i="9"/>
  <c r="D114" i="9" s="1"/>
  <c r="C111" i="9"/>
  <c r="C114" i="9" s="1"/>
  <c r="B111" i="9"/>
  <c r="B114" i="9" s="1"/>
  <c r="G109" i="9"/>
  <c r="F109" i="9"/>
  <c r="E109" i="9"/>
  <c r="D106" i="9"/>
  <c r="D109" i="9" s="1"/>
  <c r="C106" i="9"/>
  <c r="C109" i="9" s="1"/>
  <c r="B106" i="9"/>
  <c r="B109" i="9" s="1"/>
  <c r="G104" i="9"/>
  <c r="F104" i="9"/>
  <c r="E104" i="9"/>
  <c r="D101" i="9"/>
  <c r="D104" i="9" s="1"/>
  <c r="C101" i="9"/>
  <c r="C104" i="9" s="1"/>
  <c r="B101" i="9"/>
  <c r="B104" i="9" s="1"/>
  <c r="G99" i="9"/>
  <c r="F99" i="9"/>
  <c r="E99" i="9"/>
  <c r="D96" i="9"/>
  <c r="D99" i="9" s="1"/>
  <c r="C96" i="9"/>
  <c r="C99" i="9" s="1"/>
  <c r="B96" i="9"/>
  <c r="B99" i="9" s="1"/>
  <c r="G94" i="9"/>
  <c r="F94" i="9"/>
  <c r="E94" i="9"/>
  <c r="D91" i="9"/>
  <c r="D94" i="9" s="1"/>
  <c r="C91" i="9"/>
  <c r="C94" i="9" s="1"/>
  <c r="B91" i="9"/>
  <c r="B94" i="9" s="1"/>
  <c r="G89" i="9"/>
  <c r="F89" i="9"/>
  <c r="E89" i="9"/>
  <c r="D86" i="9"/>
  <c r="D89" i="9" s="1"/>
  <c r="C86" i="9"/>
  <c r="C89" i="9" s="1"/>
  <c r="B86" i="9"/>
  <c r="B89" i="9" s="1"/>
  <c r="G84" i="9"/>
  <c r="F84" i="9"/>
  <c r="E84" i="9"/>
  <c r="D81" i="9"/>
  <c r="D84" i="9" s="1"/>
  <c r="C81" i="9"/>
  <c r="C84" i="9" s="1"/>
  <c r="B81" i="9"/>
  <c r="B84" i="9" s="1"/>
  <c r="G79" i="9"/>
  <c r="F79" i="9"/>
  <c r="E79" i="9"/>
  <c r="D76" i="9"/>
  <c r="D79" i="9" s="1"/>
  <c r="C76" i="9"/>
  <c r="C79" i="9" s="1"/>
  <c r="B76" i="9"/>
  <c r="B79" i="9" s="1"/>
  <c r="G66" i="9"/>
  <c r="F66" i="9"/>
  <c r="E66" i="9"/>
  <c r="D63" i="9"/>
  <c r="C63" i="9"/>
  <c r="G61" i="9"/>
  <c r="F61" i="9"/>
  <c r="E61" i="9"/>
  <c r="D58" i="9"/>
  <c r="D61" i="9" s="1"/>
  <c r="C58" i="9"/>
  <c r="C61" i="9" s="1"/>
  <c r="B58" i="9"/>
  <c r="B61" i="9" s="1"/>
  <c r="G56" i="9"/>
  <c r="F56" i="9"/>
  <c r="E56" i="9"/>
  <c r="D53" i="9"/>
  <c r="D56" i="9" s="1"/>
  <c r="C53" i="9"/>
  <c r="C56" i="9" s="1"/>
  <c r="B53" i="9"/>
  <c r="B56" i="9" s="1"/>
  <c r="G51" i="9"/>
  <c r="F51" i="9"/>
  <c r="E51" i="9"/>
  <c r="D48" i="9"/>
  <c r="D51" i="9" s="1"/>
  <c r="C48" i="9"/>
  <c r="C51" i="9" s="1"/>
  <c r="B48" i="9"/>
  <c r="B51" i="9" s="1"/>
  <c r="G46" i="9"/>
  <c r="F46" i="9"/>
  <c r="E46" i="9"/>
  <c r="D43" i="9"/>
  <c r="D46" i="9" s="1"/>
  <c r="C43" i="9"/>
  <c r="C46" i="9" s="1"/>
  <c r="B43" i="9"/>
  <c r="B46" i="9" s="1"/>
  <c r="G41" i="9"/>
  <c r="F41" i="9"/>
  <c r="E41" i="9"/>
  <c r="D38" i="9"/>
  <c r="D41" i="9" s="1"/>
  <c r="C38" i="9"/>
  <c r="C41" i="9" s="1"/>
  <c r="B38" i="9"/>
  <c r="B41" i="9" s="1"/>
  <c r="G36" i="9"/>
  <c r="F36" i="9"/>
  <c r="E36" i="9"/>
  <c r="D33" i="9"/>
  <c r="D36" i="9" s="1"/>
  <c r="C33" i="9"/>
  <c r="C36" i="9" s="1"/>
  <c r="B33" i="9"/>
  <c r="B36" i="9" s="1"/>
  <c r="G31" i="9"/>
  <c r="F31" i="9"/>
  <c r="E31" i="9"/>
  <c r="D28" i="9"/>
  <c r="D31" i="9" s="1"/>
  <c r="C28" i="9"/>
  <c r="C31" i="9" s="1"/>
  <c r="B28" i="9"/>
  <c r="B31" i="9" s="1"/>
  <c r="G26" i="9"/>
  <c r="F26" i="9"/>
  <c r="E26" i="9"/>
  <c r="D23" i="9"/>
  <c r="D26" i="9" s="1"/>
  <c r="C23" i="9"/>
  <c r="C26" i="9" s="1"/>
  <c r="B23" i="9"/>
  <c r="B26" i="9" s="1"/>
  <c r="G21" i="9"/>
  <c r="F21" i="9"/>
  <c r="E21" i="9"/>
  <c r="D18" i="9"/>
  <c r="D21" i="9" s="1"/>
  <c r="C18" i="9"/>
  <c r="C21" i="9" s="1"/>
  <c r="B18" i="9"/>
  <c r="B21" i="9" s="1"/>
  <c r="G16" i="9"/>
  <c r="F16" i="9"/>
  <c r="E16" i="9"/>
  <c r="D13" i="9"/>
  <c r="D16" i="9" s="1"/>
  <c r="C13" i="9"/>
  <c r="C16" i="9" s="1"/>
  <c r="B13" i="9"/>
  <c r="B16" i="9" s="1"/>
  <c r="G11" i="9"/>
  <c r="F11" i="9"/>
  <c r="E11" i="9"/>
  <c r="D8" i="9"/>
  <c r="D11" i="9" s="1"/>
  <c r="C8" i="9"/>
  <c r="C11" i="9" s="1"/>
  <c r="B8" i="9"/>
  <c r="B11" i="9" s="1"/>
  <c r="D283" i="8"/>
  <c r="C283" i="8"/>
  <c r="B283" i="8"/>
  <c r="D274" i="8"/>
  <c r="C274" i="8"/>
  <c r="B274" i="8"/>
  <c r="D265" i="8"/>
  <c r="C265" i="8"/>
  <c r="B265" i="8"/>
  <c r="D256" i="8"/>
  <c r="C256" i="8"/>
  <c r="B256" i="8"/>
  <c r="D239" i="8"/>
  <c r="C239" i="8"/>
  <c r="B239" i="8"/>
  <c r="D230" i="8"/>
  <c r="C230" i="8"/>
  <c r="B230" i="8"/>
  <c r="D221" i="8"/>
  <c r="C221" i="8"/>
  <c r="B221" i="8"/>
  <c r="D212" i="8"/>
  <c r="C212" i="8"/>
  <c r="B212" i="8"/>
  <c r="D203" i="8"/>
  <c r="C203" i="8"/>
  <c r="B203" i="8"/>
  <c r="D194" i="8"/>
  <c r="C194" i="8"/>
  <c r="B194" i="8"/>
  <c r="D177" i="8"/>
  <c r="C177" i="8"/>
  <c r="B177" i="8"/>
  <c r="D168" i="8"/>
  <c r="C168" i="8"/>
  <c r="B168" i="8"/>
  <c r="D159" i="8"/>
  <c r="C159" i="8"/>
  <c r="B159" i="8"/>
  <c r="D150" i="8"/>
  <c r="C150" i="8"/>
  <c r="B150" i="8"/>
  <c r="D141" i="8"/>
  <c r="C141" i="8"/>
  <c r="B141" i="8"/>
  <c r="D132" i="8"/>
  <c r="C132" i="8"/>
  <c r="B132" i="8"/>
  <c r="D115" i="8"/>
  <c r="C115" i="8"/>
  <c r="B115" i="8"/>
  <c r="D106" i="8"/>
  <c r="C106" i="8"/>
  <c r="B106" i="8"/>
  <c r="D97" i="8"/>
  <c r="C97" i="8"/>
  <c r="B97" i="8"/>
  <c r="D88" i="8"/>
  <c r="C88" i="8"/>
  <c r="B88" i="8"/>
  <c r="D79" i="8"/>
  <c r="C79" i="8"/>
  <c r="B79" i="8"/>
  <c r="D70" i="8"/>
  <c r="C70" i="8"/>
  <c r="B70" i="8"/>
  <c r="D53" i="8"/>
  <c r="C53" i="8"/>
  <c r="B53" i="8"/>
  <c r="D44" i="8"/>
  <c r="C44" i="8"/>
  <c r="B44" i="8"/>
  <c r="D35" i="8"/>
  <c r="C35" i="8"/>
  <c r="B35" i="8"/>
  <c r="D26" i="8"/>
  <c r="C26" i="8"/>
  <c r="B26" i="8"/>
  <c r="D17" i="8"/>
  <c r="C17" i="8"/>
  <c r="B17" i="8"/>
</calcChain>
</file>

<file path=xl/sharedStrings.xml><?xml version="1.0" encoding="utf-8"?>
<sst xmlns="http://schemas.openxmlformats.org/spreadsheetml/2006/main" count="2389" uniqueCount="148">
  <si>
    <t xml:space="preserve"> 60 y más años</t>
  </si>
  <si>
    <t xml:space="preserve"> 45 - 59 años</t>
  </si>
  <si>
    <t xml:space="preserve"> 30 - 44 años</t>
  </si>
  <si>
    <t xml:space="preserve"> 15 - 29 años</t>
  </si>
  <si>
    <t xml:space="preserve"> Menores de 15 años</t>
  </si>
  <si>
    <t>Ucayali</t>
  </si>
  <si>
    <t>Tumbes</t>
  </si>
  <si>
    <t>Tacna</t>
  </si>
  <si>
    <t>San Martín</t>
  </si>
  <si>
    <t>Puno</t>
  </si>
  <si>
    <t>Piura</t>
  </si>
  <si>
    <t>Pasco</t>
  </si>
  <si>
    <t>Moquegua</t>
  </si>
  <si>
    <t>Mujer</t>
  </si>
  <si>
    <t>Hombre</t>
  </si>
  <si>
    <t>Total</t>
  </si>
  <si>
    <t>Conclusión.</t>
  </si>
  <si>
    <t>(Cifras absolutas)</t>
  </si>
  <si>
    <t>Continúa…</t>
  </si>
  <si>
    <t>Madre de Dios</t>
  </si>
  <si>
    <t>Loreto</t>
  </si>
  <si>
    <t>Lima</t>
  </si>
  <si>
    <t>Lambayeque</t>
  </si>
  <si>
    <t>La Libertad</t>
  </si>
  <si>
    <t>Junín</t>
  </si>
  <si>
    <t>Ica</t>
  </si>
  <si>
    <t>Huánuco</t>
  </si>
  <si>
    <t>Huancavelica</t>
  </si>
  <si>
    <t>Cusco</t>
  </si>
  <si>
    <t>Prov. Const. del Callao</t>
  </si>
  <si>
    <t>Cajamarca</t>
  </si>
  <si>
    <t>Ayacucho</t>
  </si>
  <si>
    <t>Arequipa</t>
  </si>
  <si>
    <t>Apurímac</t>
  </si>
  <si>
    <t>Áncash</t>
  </si>
  <si>
    <t>Amazonas</t>
  </si>
  <si>
    <t>Área Rural</t>
  </si>
  <si>
    <t>Área Urbana</t>
  </si>
  <si>
    <t>No sabe/No responde</t>
  </si>
  <si>
    <t>No escucha ni habla</t>
  </si>
  <si>
    <t>Lengua de señas</t>
  </si>
  <si>
    <t>Otra lengua extranjera</t>
  </si>
  <si>
    <t>Portugués</t>
  </si>
  <si>
    <t>Castellano</t>
  </si>
  <si>
    <t>Achuar</t>
  </si>
  <si>
    <t>Matsigenka/Machiguenga</t>
  </si>
  <si>
    <t>Shawi/Chayahuita</t>
  </si>
  <si>
    <t>Awajún/Aguaruna</t>
  </si>
  <si>
    <t>Ashaninka</t>
  </si>
  <si>
    <t>Aimara</t>
  </si>
  <si>
    <t>Quechua</t>
  </si>
  <si>
    <t xml:space="preserve"> Tiene DNI</t>
  </si>
  <si>
    <t xml:space="preserve"> No recuerda</t>
  </si>
  <si>
    <t xml:space="preserve"> No tiene documento alguno</t>
  </si>
  <si>
    <t xml:space="preserve"> Solo tiene carné de extranjería</t>
  </si>
  <si>
    <t xml:space="preserve"> Solo tiene partida de nacimiento</t>
  </si>
  <si>
    <t>Sin seguro de salud</t>
  </si>
  <si>
    <t>Con seguro de salud</t>
  </si>
  <si>
    <t>Sin discapacidad</t>
  </si>
  <si>
    <t>Con alguna discapacidad</t>
  </si>
  <si>
    <t>Maestría/Doctorado</t>
  </si>
  <si>
    <t>Superior Universitaria</t>
  </si>
  <si>
    <t>Superior No Universitaria</t>
  </si>
  <si>
    <t>Básica especial</t>
  </si>
  <si>
    <t>Secundaria</t>
  </si>
  <si>
    <t>Primaria</t>
  </si>
  <si>
    <t>Inicial</t>
  </si>
  <si>
    <t>Sin nivel</t>
  </si>
  <si>
    <t xml:space="preserve"> 45 - 49 </t>
  </si>
  <si>
    <t xml:space="preserve"> 40 - 44 </t>
  </si>
  <si>
    <t xml:space="preserve"> 35 - 39 </t>
  </si>
  <si>
    <t xml:space="preserve"> 30 - 34 </t>
  </si>
  <si>
    <t xml:space="preserve"> 25 - 29 </t>
  </si>
  <si>
    <t xml:space="preserve"> 20 - 24 </t>
  </si>
  <si>
    <t xml:space="preserve"> 15 - 19 </t>
  </si>
  <si>
    <t>Hijos fallecidos</t>
  </si>
  <si>
    <t>Hijos nacidos vivos</t>
  </si>
  <si>
    <t>Mujeres en edad fértil</t>
  </si>
  <si>
    <t>Tasa</t>
  </si>
  <si>
    <t>No sabe leer, ni escribir</t>
  </si>
  <si>
    <t>Sabe leer y escribir</t>
  </si>
  <si>
    <t xml:space="preserve">17 a 24 </t>
  </si>
  <si>
    <t xml:space="preserve">12 a 16 </t>
  </si>
  <si>
    <t>Continúa...</t>
  </si>
  <si>
    <t xml:space="preserve"> 14 - 29 años</t>
  </si>
  <si>
    <t xml:space="preserve"> 45 - 56 años</t>
  </si>
  <si>
    <t>2/ Comprende los 43 distritos que conforman la provincia de Lima.</t>
  </si>
  <si>
    <t>3/ Comprende las provincias de Barranca, Cajatambo, Canta, Cañete, Huaral, Huarochirí, Huaura, Oyón y Yauyos.</t>
  </si>
  <si>
    <t>Condición de seguro de salud / Área de residencia y departamento</t>
  </si>
  <si>
    <t>Condición de discapacidad / Área de residencia y departamento</t>
  </si>
  <si>
    <t>Grupo de edad / Departamento</t>
  </si>
  <si>
    <t>Grupo de edad / Área de residencia y departamento</t>
  </si>
  <si>
    <t>Sexo / Departamento</t>
  </si>
  <si>
    <t>Nivel de educación alcanzado / Departamento</t>
  </si>
  <si>
    <t>Grupo especial de edad / Área de residencia y departamento</t>
  </si>
  <si>
    <t xml:space="preserve">Tenencia de documento nacional de identidad / Área de residencia y departamento </t>
  </si>
  <si>
    <t>Lengua o idioma materna aprendida en la niñez / Área de residencia y departamento</t>
  </si>
  <si>
    <t>Tasa de analfabetismo / Área de residencia y departamento</t>
  </si>
  <si>
    <t>Seguro integral de Salud</t>
  </si>
  <si>
    <t>EsSALUD</t>
  </si>
  <si>
    <t>Fuerzas Armadas y/o Policiales</t>
  </si>
  <si>
    <t>Seguro privado de la salud</t>
  </si>
  <si>
    <t>Otro seguro</t>
  </si>
  <si>
    <t>Área urbana</t>
  </si>
  <si>
    <t>Tipo de afiliación de seguro de salud / Departamento</t>
  </si>
  <si>
    <t>Asiste</t>
  </si>
  <si>
    <t>No asiste</t>
  </si>
  <si>
    <t>Área rural</t>
  </si>
  <si>
    <t>1/ Incluye Cholo, culturas Preincas, Trigueño, Nikkei, Tusan, Andinos, Pueblos indígenas de otros países, no sabe/no responde y otro.
Excluye a los afroperuanos, a los indígenas u originarios de los Andes y los indígenas u originarios de la Amazonía.</t>
  </si>
  <si>
    <t>PERÚ: POBLACIÓN CENSADA INDÍGENA U ORIGINARIA DE LA AMAZONÍA, BLANCA(O), MESTIZA(O) Y OTRA(O) DE 12 Y MÁS AÑOS DE EDAD, POR SEXO, SEGÚN GRUPO ESPECIAL DE EDAD, ÁREA DE RESIDENCIA Y DEPARTAMENTO, 2017</t>
  </si>
  <si>
    <t>PERÚ: POBLACIÓN CENSADA INDÍGENA U ORIGINARIA DE LA AMAZONÍA, BLANCA(O), MESTIZA(O) Y OTRA(O) DE 12 Y MÁS AÑOS DE EDAD, POR SEXO, SEGÚN TENENCIA DE DOCUMENTO NACIONAL DE IDENTIDAD, ÁREA DE RESIDENCIA Y DEPARTAMENTO, 2017</t>
  </si>
  <si>
    <t>PERÚ: POBLACIÓN CENSADA INDÍGENA U ORIGINARIA DE LA AMAZONÍA, BLANCA(O), MESTIZA(O) Y OTRA(O) DE 12 Y MÁS AÑOS DE EDAD, POR SEXO, SEGÚN LENGUA O IDIOMA MATERNA APRENDIDA EN LA NIÑEZ, ÁREA DE RESIDENCIA Y DEPARTAMENTO, 2017</t>
  </si>
  <si>
    <t>PERÚ: POBLACIÓN CENSADA INDÍGENA U ORIGINARIA DE LA AMAZONÍA, BLANCA(O), MESTIZA(O) Y OTRA(O) DE 12 A 24 AÑOS DE EDAD, POR SEXO Y CONDICIÓN DE ASISTENCIA A UN CENTRO DE ENSEÑANZA, SEGÚN GRUPO DE EDAD, ÁREA DE RESIDENCIA Y DEPARTAMENTO, 2017</t>
  </si>
  <si>
    <t>PERÚ: POBLACIÓN CENSADA INDÍGENA U ORIGINARIA DE LA AMAZONÍA, BLANCA(O), MESTIZA(O) Y OTRA(O) EN EDAD DE TRABAJAR DE 14 Y MÁS AÑOS DE EDAD, POR ÁREA DE RESIDENCIA, SEGÚN SEXO Y DEPARTAMENTO, 2017</t>
  </si>
  <si>
    <t>PERÚ: POBLACIÓN CENSADA INDÍGENA U ORIGINARIA DE LA AMAZONÍA, BLANCA(O), MESTIZA(O) Y OTRA(O) EN EDAD DE TRABAJAR DE 14 Y MÁS AÑOS DE EDAD, POR ÁREA DE RESIDENCIA, SEGÚN GRUPO DE EDAD Y DEPARTAMENTO, 2017</t>
  </si>
  <si>
    <t>PERÚ: HIJOS NACIDOS VIVOS E HIJOS FALLECIDOS DE LA MUJER INDÍGENA U ORIGINARIA DE LA AMAZONÍA, BLANCA, MESTIZA Y OTRA, SEGÚN GRUPO DE EDAD Y DEPARTAMENTO, 2017</t>
  </si>
  <si>
    <r>
      <t xml:space="preserve">Blanca(o)/Mestiza(o)/Otra(o) </t>
    </r>
    <r>
      <rPr>
        <b/>
        <vertAlign val="superscript"/>
        <sz val="8"/>
        <rFont val="Arial Narrow"/>
        <family val="2"/>
      </rPr>
      <t>1/</t>
    </r>
  </si>
  <si>
    <t>Indígena u originaria de la Amazonía</t>
  </si>
  <si>
    <t>Fuente: INEI - Censos Nacionales 2017: XII de Población, VII de Vivienda, III de Comunidades Indígenas (III Censo de Comunidades Nativas y I Censo de Comunidades Campesinas).</t>
  </si>
  <si>
    <t>1/ Incluye Cholo, culturas Preincas, Trigueño, Nikkei, Tusan, Andinos, Pueblos indígenas de otros países, no sabe/no responde y otro. Excluye a los afroperuanos, a los indígenas u originarios de los Andes y los indígenas u originarios de la Amazonía.</t>
  </si>
  <si>
    <t>3/ Comprende los 43 distritos que conforman la provincia de Lima.</t>
  </si>
  <si>
    <t>4/ Comprende las provincias de Barranca, Cajatambo, Canta, Cañete, Huaral, Huarochirí, Huaura, Oyón y Yauyos.</t>
  </si>
  <si>
    <t>2/ Incluye: Kichwa, Ticuna, Nomatsigenga, Wampis, Yine, entre otras.</t>
  </si>
  <si>
    <t>PERÚ: POBLACIÓN CENSADA INDÍGENA U ORIGINARIA DE LA AMAZONÍA, BLANCA(O), MESTIZA(O) Y OTRA(O) DE 12 Y MÁS AÑOS DE EDAD, POR SEXO, SEGÚN CONDICIÓN DE SEGURO DE SALUD, ÁREA DE RESIDENCIA Y DEPARTAMENTO, 2017</t>
  </si>
  <si>
    <t>PERÚ: POBLACIÓN CENSADA INDÍGENA U ORIGINARIA DE LA AMAZONÍA, BLANCA(O), MESTIZA(O) Y OTRA(O) DE 12 Y MÁS AÑOS DE EDAD, POR ÁREA DE RESIDENCIA, SEGÚN TIPO DE AFILIACIÓN DE SEGURO DE SALUD Y DEPARTAMENTO, 2017</t>
  </si>
  <si>
    <t>PERÚ: POBLACIÓN CENSADA INDÍGENA U ORIGINARIA DE LA AMAZONÍA, BLANCA(O), MESTIZA(O) Y OTRA(O) DE 12 Y MÁS AÑOS DE EDAD, POR SEXO, SEGÚN CONDICIÓN DE DISCAPACIDAD, ÁREA DE RESIDENCIA Y DEPARTAMENTO, 2017</t>
  </si>
  <si>
    <t>PERÚ: POBLACIÓN CENSADA INDÍGENA U ORIGINARIA DE LA AMAZONÍA, BLANCA(O), MESTIZA(O) Y OTRA(O) DE 15 Y MÁS AÑOS DE EDAD, POR SEXO, SEGÚN NIVEL DE EDUCACIÓN ALCANZADO Y DEPARTAMENTO, 2017</t>
  </si>
  <si>
    <t>1/ Incluye Chola, culturas Preincas, Trigueña, Nikkei, Tusan, Andinas, Pueblos indígenas de otros países, no sabe/no responde y otro. Excluye a los afroperuanas, a las indígenas u originarios de los Andes y las indígenas u originarios de la Amazonía.</t>
  </si>
  <si>
    <t>PERÚ: POBLACIÓN CENSADA INDÍGENA U ORIGINARIA DE LA AMAZONÍA, BLANCA(O), MESTIZA(O) Y OTRA(O) DE 15 Y MÁS AÑOS DE EDAD, POR SEXO, SEGÚN TASA DE ANALFABETISMO, ÁREA DE RESIDENCIA Y DEPARTAMENTO, 2017</t>
  </si>
  <si>
    <r>
      <t xml:space="preserve">Provincia de Lima </t>
    </r>
    <r>
      <rPr>
        <b/>
        <vertAlign val="superscript"/>
        <sz val="8"/>
        <rFont val="Arial Narrow"/>
        <family val="2"/>
      </rPr>
      <t>2/</t>
    </r>
  </si>
  <si>
    <r>
      <t xml:space="preserve">Región Lima </t>
    </r>
    <r>
      <rPr>
        <b/>
        <vertAlign val="superscript"/>
        <sz val="8"/>
        <rFont val="Arial Narrow"/>
        <family val="2"/>
      </rPr>
      <t>3/</t>
    </r>
  </si>
  <si>
    <r>
      <t xml:space="preserve">Otra lengua nativa </t>
    </r>
    <r>
      <rPr>
        <vertAlign val="superscript"/>
        <sz val="8"/>
        <rFont val="Arial Narrow"/>
        <family val="2"/>
      </rPr>
      <t>2/</t>
    </r>
  </si>
  <si>
    <r>
      <t xml:space="preserve">Provincia de Lima </t>
    </r>
    <r>
      <rPr>
        <b/>
        <vertAlign val="superscript"/>
        <sz val="8"/>
        <rFont val="Arial Narrow"/>
        <family val="2"/>
      </rPr>
      <t>3/</t>
    </r>
  </si>
  <si>
    <r>
      <t xml:space="preserve">Región Lima </t>
    </r>
    <r>
      <rPr>
        <b/>
        <vertAlign val="superscript"/>
        <sz val="8"/>
        <rFont val="Arial Narrow"/>
        <family val="2"/>
      </rPr>
      <t>4/</t>
    </r>
  </si>
  <si>
    <t>Shipibo/Konibo</t>
  </si>
  <si>
    <r>
      <t xml:space="preserve">Blanca/Mestiza/Otra </t>
    </r>
    <r>
      <rPr>
        <b/>
        <vertAlign val="superscript"/>
        <sz val="8"/>
        <rFont val="Arial Narrow"/>
        <family val="2"/>
      </rPr>
      <t>1/</t>
    </r>
  </si>
  <si>
    <t>CUADRO Nº 2.1</t>
  </si>
  <si>
    <t>CUADRO Nº 2.2</t>
  </si>
  <si>
    <t>CUADRO Nº 2.3</t>
  </si>
  <si>
    <t>CUADRO Nº 2.4</t>
  </si>
  <si>
    <t>CUADRO Nº 2.5</t>
  </si>
  <si>
    <t>CUADRO Nº 2.6</t>
  </si>
  <si>
    <t>CUADRO Nº 2.7</t>
  </si>
  <si>
    <t>CUADRO Nº 2.8</t>
  </si>
  <si>
    <t>CUADRO Nº 2.9</t>
  </si>
  <si>
    <t>CUADRO Nº 2.10</t>
  </si>
  <si>
    <t>CUADRO Nº 2.11</t>
  </si>
  <si>
    <t>CUADRO Nº 2.12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</si>
</sst>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#\ ##0"/>
    <numFmt numFmtId="165" formatCode="0.0"/>
    <numFmt numFmtId="166" formatCode="###\ ###\ ##0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 Narrow"/>
      <family val="2"/>
    </font>
    <font>
      <b/>
      <sz val="8"/>
      <name val="Arial Narrow"/>
      <family val="2"/>
    </font>
    <font>
      <sz val="10"/>
      <name val="Arial"/>
      <family val="2"/>
    </font>
    <font>
      <sz val="8"/>
      <name val="Arial"/>
      <family val="2"/>
    </font>
    <font>
      <b/>
      <vertAlign val="superscript"/>
      <sz val="8"/>
      <name val="Arial Narrow"/>
      <family val="2"/>
    </font>
    <font>
      <sz val="8"/>
      <color theme="1"/>
      <name val="Arial Narrow"/>
      <family val="2"/>
    </font>
    <font>
      <vertAlign val="superscript"/>
      <sz val="8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DF1FF"/>
        <bgColor indexed="64"/>
      </patternFill>
    </fill>
  </fills>
  <borders count="18">
    <border>
      <left/>
      <right/>
      <top/>
      <bottom/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/>
      <right/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medium">
        <color rgb="FF00B0F0"/>
      </left>
      <right/>
      <top/>
      <bottom/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/>
      <right style="medium">
        <color rgb="FF00B0F0"/>
      </right>
      <top/>
      <bottom/>
      <diagonal/>
    </border>
    <border>
      <left/>
      <right/>
      <top style="medium">
        <color rgb="FF00B0F0"/>
      </top>
      <bottom/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 style="medium">
        <color rgb="FF00B0F0"/>
      </right>
      <top/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thin">
        <color indexed="64"/>
      </bottom>
      <diagonal/>
    </border>
    <border>
      <left style="medium">
        <color rgb="FF00B0F0"/>
      </left>
      <right style="medium">
        <color rgb="FF00B0F0"/>
      </right>
      <top style="thin">
        <color indexed="64"/>
      </top>
      <bottom style="medium">
        <color rgb="FF00B0F0"/>
      </bottom>
      <diagonal/>
    </border>
    <border>
      <left style="medium">
        <color rgb="FF00B0F0"/>
      </left>
      <right style="medium">
        <color rgb="FF00B0F0"/>
      </right>
      <top/>
      <bottom/>
      <diagonal/>
    </border>
  </borders>
  <cellStyleXfs count="5">
    <xf numFmtId="0" fontId="0" fillId="0" borderId="0"/>
    <xf numFmtId="0" fontId="5" fillId="0" borderId="0"/>
    <xf numFmtId="0" fontId="5" fillId="0" borderId="0"/>
    <xf numFmtId="0" fontId="2" fillId="0" borderId="0"/>
    <xf numFmtId="0" fontId="1" fillId="0" borderId="0"/>
  </cellStyleXfs>
  <cellXfs count="240">
    <xf numFmtId="0" fontId="0" fillId="0" borderId="0" xfId="0"/>
    <xf numFmtId="3" fontId="3" fillId="2" borderId="0" xfId="0" applyNumberFormat="1" applyFont="1" applyFill="1"/>
    <xf numFmtId="0" fontId="3" fillId="2" borderId="0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left" vertical="center"/>
    </xf>
    <xf numFmtId="0" fontId="3" fillId="2" borderId="0" xfId="0" applyFont="1" applyFill="1"/>
    <xf numFmtId="164" fontId="3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right" vertical="center"/>
    </xf>
    <xf numFmtId="0" fontId="6" fillId="2" borderId="0" xfId="0" applyFont="1" applyFill="1"/>
    <xf numFmtId="164" fontId="3" fillId="2" borderId="0" xfId="0" applyNumberFormat="1" applyFont="1" applyFill="1" applyBorder="1" applyAlignment="1">
      <alignment horizontal="center"/>
    </xf>
    <xf numFmtId="164" fontId="3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 indent="1"/>
    </xf>
    <xf numFmtId="0" fontId="3" fillId="2" borderId="0" xfId="0" applyFont="1" applyFill="1" applyBorder="1" applyAlignment="1">
      <alignment horizontal="center" vertical="center"/>
    </xf>
    <xf numFmtId="166" fontId="3" fillId="2" borderId="0" xfId="2" applyNumberFormat="1" applyFont="1" applyFill="1" applyBorder="1" applyAlignment="1">
      <alignment horizontal="right" vertical="center"/>
    </xf>
    <xf numFmtId="166" fontId="4" fillId="2" borderId="0" xfId="2" applyNumberFormat="1" applyFont="1" applyFill="1" applyBorder="1" applyAlignment="1">
      <alignment horizontal="right" vertical="center"/>
    </xf>
    <xf numFmtId="165" fontId="3" fillId="2" borderId="0" xfId="2" applyNumberFormat="1" applyFont="1" applyFill="1" applyAlignment="1">
      <alignment horizontal="right" vertical="center"/>
    </xf>
    <xf numFmtId="3" fontId="3" fillId="2" borderId="0" xfId="2" applyNumberFormat="1" applyFont="1" applyFill="1" applyBorder="1" applyAlignment="1">
      <alignment horizontal="right" vertical="center" wrapText="1"/>
    </xf>
    <xf numFmtId="164" fontId="3" fillId="2" borderId="0" xfId="2" applyNumberFormat="1" applyFont="1" applyFill="1" applyBorder="1" applyAlignment="1">
      <alignment horizontal="right" vertical="center"/>
    </xf>
    <xf numFmtId="164" fontId="3" fillId="2" borderId="0" xfId="2" applyNumberFormat="1" applyFont="1" applyFill="1" applyBorder="1" applyAlignment="1">
      <alignment horizontal="right"/>
    </xf>
    <xf numFmtId="0" fontId="3" fillId="2" borderId="0" xfId="2" applyFont="1" applyFill="1" applyBorder="1" applyAlignment="1">
      <alignment horizontal="left" vertical="center" wrapText="1"/>
    </xf>
    <xf numFmtId="0" fontId="3" fillId="2" borderId="0" xfId="2" applyFont="1" applyFill="1" applyBorder="1" applyAlignment="1">
      <alignment horizontal="right" vertical="center" wrapText="1"/>
    </xf>
    <xf numFmtId="0" fontId="3" fillId="2" borderId="0" xfId="2" applyFont="1" applyFill="1" applyBorder="1" applyAlignment="1">
      <alignment horizontal="right" vertical="center"/>
    </xf>
    <xf numFmtId="166" fontId="3" fillId="2" borderId="0" xfId="2" applyNumberFormat="1" applyFont="1" applyFill="1" applyBorder="1" applyAlignment="1">
      <alignment vertical="center"/>
    </xf>
    <xf numFmtId="165" fontId="3" fillId="2" borderId="0" xfId="0" applyNumberFormat="1" applyFont="1" applyFill="1" applyBorder="1" applyAlignment="1">
      <alignment horizontal="center"/>
    </xf>
    <xf numFmtId="164" fontId="4" fillId="2" borderId="0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/>
    <xf numFmtId="0" fontId="6" fillId="2" borderId="0" xfId="0" applyFont="1" applyFill="1" applyAlignment="1">
      <alignment horizontal="center"/>
    </xf>
    <xf numFmtId="3" fontId="3" fillId="2" borderId="0" xfId="0" applyNumberFormat="1" applyFont="1" applyFill="1" applyBorder="1" applyAlignment="1">
      <alignment horizontal="right"/>
    </xf>
    <xf numFmtId="0" fontId="6" fillId="2" borderId="0" xfId="0" applyFont="1" applyFill="1" applyAlignment="1">
      <alignment horizontal="right"/>
    </xf>
    <xf numFmtId="0" fontId="6" fillId="2" borderId="0" xfId="2" applyFont="1" applyFill="1"/>
    <xf numFmtId="3" fontId="3" fillId="2" borderId="0" xfId="2" applyNumberFormat="1" applyFont="1" applyFill="1" applyBorder="1" applyAlignment="1"/>
    <xf numFmtId="0" fontId="6" fillId="2" borderId="0" xfId="2" applyFont="1" applyFill="1" applyAlignment="1">
      <alignment horizontal="right"/>
    </xf>
    <xf numFmtId="0" fontId="3" fillId="2" borderId="0" xfId="0" applyFont="1" applyFill="1" applyBorder="1" applyAlignment="1">
      <alignment horizontal="justify"/>
    </xf>
    <xf numFmtId="0" fontId="3" fillId="2" borderId="0" xfId="2" applyFont="1" applyFill="1"/>
    <xf numFmtId="3" fontId="3" fillId="2" borderId="0" xfId="2" applyNumberFormat="1" applyFont="1" applyFill="1"/>
    <xf numFmtId="0" fontId="4" fillId="2" borderId="0" xfId="2" applyFont="1" applyFill="1" applyBorder="1" applyAlignment="1">
      <alignment horizontal="right" vertical="center" wrapText="1"/>
    </xf>
    <xf numFmtId="0" fontId="4" fillId="2" borderId="0" xfId="2" applyFont="1" applyFill="1" applyBorder="1" applyAlignment="1">
      <alignment horizontal="right" vertical="center"/>
    </xf>
    <xf numFmtId="0" fontId="3" fillId="2" borderId="0" xfId="2" applyFont="1" applyFill="1" applyBorder="1"/>
    <xf numFmtId="0" fontId="4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3" fontId="3" fillId="2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/>
    </xf>
    <xf numFmtId="0" fontId="3" fillId="2" borderId="0" xfId="2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right" vertical="center"/>
    </xf>
    <xf numFmtId="0" fontId="4" fillId="4" borderId="0" xfId="0" applyFont="1" applyFill="1" applyBorder="1" applyAlignment="1">
      <alignment horizontal="left" vertical="center"/>
    </xf>
    <xf numFmtId="164" fontId="4" fillId="4" borderId="8" xfId="1" applyNumberFormat="1" applyFont="1" applyFill="1" applyBorder="1" applyAlignment="1">
      <alignment horizontal="right" vertical="center"/>
    </xf>
    <xf numFmtId="164" fontId="4" fillId="4" borderId="0" xfId="1" applyNumberFormat="1" applyFont="1" applyFill="1" applyBorder="1" applyAlignment="1">
      <alignment horizontal="right" vertical="center"/>
    </xf>
    <xf numFmtId="166" fontId="3" fillId="2" borderId="8" xfId="2" applyNumberFormat="1" applyFont="1" applyFill="1" applyBorder="1" applyAlignment="1">
      <alignment horizontal="right" vertical="center"/>
    </xf>
    <xf numFmtId="3" fontId="3" fillId="2" borderId="8" xfId="1" applyNumberFormat="1" applyFont="1" applyFill="1" applyBorder="1"/>
    <xf numFmtId="3" fontId="3" fillId="2" borderId="0" xfId="1" applyNumberFormat="1" applyFont="1" applyFill="1"/>
    <xf numFmtId="0" fontId="4" fillId="2" borderId="0" xfId="0" applyFont="1" applyFill="1" applyBorder="1" applyAlignment="1">
      <alignment horizontal="left" vertical="center"/>
    </xf>
    <xf numFmtId="164" fontId="4" fillId="2" borderId="8" xfId="1" applyNumberFormat="1" applyFont="1" applyFill="1" applyBorder="1" applyAlignment="1">
      <alignment horizontal="right" vertical="center"/>
    </xf>
    <xf numFmtId="164" fontId="4" fillId="2" borderId="0" xfId="1" applyNumberFormat="1" applyFont="1" applyFill="1" applyBorder="1" applyAlignment="1">
      <alignment horizontal="right" vertical="center"/>
    </xf>
    <xf numFmtId="165" fontId="3" fillId="2" borderId="0" xfId="0" applyNumberFormat="1" applyFont="1" applyFill="1" applyBorder="1" applyAlignment="1">
      <alignment horizontal="left" vertical="center" indent="1"/>
    </xf>
    <xf numFmtId="165" fontId="3" fillId="2" borderId="8" xfId="1" applyNumberFormat="1" applyFont="1" applyFill="1" applyBorder="1" applyAlignment="1">
      <alignment horizontal="right" vertical="center"/>
    </xf>
    <xf numFmtId="165" fontId="3" fillId="2" borderId="0" xfId="1" applyNumberFormat="1" applyFont="1" applyFill="1" applyAlignment="1">
      <alignment horizontal="right" vertical="center"/>
    </xf>
    <xf numFmtId="0" fontId="3" fillId="2" borderId="0" xfId="1" applyFont="1" applyFill="1"/>
    <xf numFmtId="0" fontId="4" fillId="2" borderId="5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right" vertical="center" wrapText="1"/>
    </xf>
    <xf numFmtId="0" fontId="3" fillId="2" borderId="5" xfId="0" applyFont="1" applyFill="1" applyBorder="1"/>
    <xf numFmtId="0" fontId="3" fillId="2" borderId="10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 wrapText="1" indent="1"/>
    </xf>
    <xf numFmtId="165" fontId="3" fillId="2" borderId="10" xfId="0" applyNumberFormat="1" applyFont="1" applyFill="1" applyBorder="1" applyAlignment="1">
      <alignment horizontal="left" vertical="center" indent="1"/>
    </xf>
    <xf numFmtId="0" fontId="4" fillId="4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right" vertical="center" wrapText="1"/>
    </xf>
    <xf numFmtId="0" fontId="3" fillId="2" borderId="11" xfId="0" applyFont="1" applyFill="1" applyBorder="1"/>
    <xf numFmtId="3" fontId="3" fillId="2" borderId="11" xfId="0" applyNumberFormat="1" applyFont="1" applyFill="1" applyBorder="1"/>
    <xf numFmtId="3" fontId="3" fillId="2" borderId="0" xfId="1" applyNumberFormat="1" applyFont="1" applyFill="1" applyBorder="1"/>
    <xf numFmtId="0" fontId="4" fillId="4" borderId="0" xfId="0" applyFont="1" applyFill="1" applyBorder="1" applyAlignment="1">
      <alignment vertical="center"/>
    </xf>
    <xf numFmtId="164" fontId="3" fillId="2" borderId="8" xfId="1" applyNumberFormat="1" applyFont="1" applyFill="1" applyBorder="1" applyAlignment="1">
      <alignment horizontal="right" vertical="center"/>
    </xf>
    <xf numFmtId="164" fontId="3" fillId="2" borderId="0" xfId="1" applyNumberFormat="1" applyFont="1" applyFill="1" applyBorder="1" applyAlignment="1">
      <alignment horizontal="right"/>
    </xf>
    <xf numFmtId="0" fontId="3" fillId="2" borderId="0" xfId="1" applyFont="1" applyFill="1" applyBorder="1"/>
    <xf numFmtId="165" fontId="3" fillId="2" borderId="0" xfId="1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 wrapText="1" indent="1"/>
    </xf>
    <xf numFmtId="3" fontId="3" fillId="2" borderId="9" xfId="0" applyNumberFormat="1" applyFont="1" applyFill="1" applyBorder="1"/>
    <xf numFmtId="3" fontId="3" fillId="2" borderId="5" xfId="0" applyNumberFormat="1" applyFont="1" applyFill="1" applyBorder="1"/>
    <xf numFmtId="0" fontId="3" fillId="2" borderId="0" xfId="0" applyFont="1" applyFill="1" applyBorder="1" applyAlignment="1">
      <alignment horizontal="left" vertical="top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right" vertical="center"/>
    </xf>
    <xf numFmtId="3" fontId="3" fillId="2" borderId="0" xfId="0" applyNumberFormat="1" applyFont="1" applyFill="1" applyBorder="1"/>
    <xf numFmtId="0" fontId="3" fillId="2" borderId="0" xfId="0" applyFont="1" applyFill="1" applyBorder="1" applyAlignment="1">
      <alignment horizontal="left" vertical="center" indent="1"/>
    </xf>
    <xf numFmtId="3" fontId="3" fillId="2" borderId="8" xfId="1" applyNumberFormat="1" applyFont="1" applyFill="1" applyBorder="1" applyAlignment="1">
      <alignment horizontal="right"/>
    </xf>
    <xf numFmtId="3" fontId="3" fillId="2" borderId="0" xfId="1" applyNumberFormat="1" applyFont="1" applyFill="1" applyBorder="1" applyAlignment="1">
      <alignment horizontal="right"/>
    </xf>
    <xf numFmtId="0" fontId="3" fillId="2" borderId="6" xfId="0" applyFont="1" applyFill="1" applyBorder="1" applyAlignment="1">
      <alignment horizontal="left" vertical="center" wrapText="1"/>
    </xf>
    <xf numFmtId="164" fontId="3" fillId="2" borderId="9" xfId="0" applyNumberFormat="1" applyFont="1" applyFill="1" applyBorder="1" applyAlignment="1">
      <alignment horizontal="right" vertical="center"/>
    </xf>
    <xf numFmtId="164" fontId="3" fillId="2" borderId="5" xfId="0" applyNumberFormat="1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3" fontId="3" fillId="2" borderId="0" xfId="1" applyNumberFormat="1" applyFont="1" applyFill="1" applyAlignment="1">
      <alignment horizontal="right"/>
    </xf>
    <xf numFmtId="0" fontId="4" fillId="2" borderId="10" xfId="0" applyFont="1" applyFill="1" applyBorder="1" applyAlignment="1">
      <alignment horizontal="left" vertical="center"/>
    </xf>
    <xf numFmtId="3" fontId="3" fillId="2" borderId="0" xfId="1" applyNumberFormat="1" applyFont="1" applyFill="1" applyAlignment="1">
      <alignment horizontal="right" vertical="center"/>
    </xf>
    <xf numFmtId="0" fontId="3" fillId="2" borderId="0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1"/>
    </xf>
    <xf numFmtId="3" fontId="3" fillId="2" borderId="5" xfId="0" applyNumberFormat="1" applyFont="1" applyFill="1" applyBorder="1" applyAlignment="1">
      <alignment horizontal="right"/>
    </xf>
    <xf numFmtId="165" fontId="4" fillId="2" borderId="0" xfId="0" applyNumberFormat="1" applyFont="1" applyFill="1" applyBorder="1" applyAlignment="1">
      <alignment horizontal="right" vertical="center"/>
    </xf>
    <xf numFmtId="3" fontId="3" fillId="2" borderId="0" xfId="1" applyNumberFormat="1" applyFont="1" applyFill="1" applyBorder="1" applyAlignment="1">
      <alignment horizontal="right" vertical="center"/>
    </xf>
    <xf numFmtId="0" fontId="4" fillId="2" borderId="10" xfId="0" applyFont="1" applyFill="1" applyBorder="1" applyAlignment="1">
      <alignment vertical="center"/>
    </xf>
    <xf numFmtId="0" fontId="8" fillId="2" borderId="0" xfId="0" applyFont="1" applyFill="1"/>
    <xf numFmtId="0" fontId="3" fillId="2" borderId="0" xfId="0" applyFont="1" applyFill="1" applyBorder="1" applyAlignment="1"/>
    <xf numFmtId="0" fontId="4" fillId="3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left" vertical="center" indent="1"/>
    </xf>
    <xf numFmtId="0" fontId="4" fillId="2" borderId="10" xfId="0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3" fillId="2" borderId="14" xfId="2" applyFont="1" applyFill="1" applyBorder="1" applyAlignment="1">
      <alignment horizontal="left" vertical="center"/>
    </xf>
    <xf numFmtId="0" fontId="4" fillId="4" borderId="10" xfId="2" applyFont="1" applyFill="1" applyBorder="1" applyAlignment="1">
      <alignment horizontal="left" vertical="center"/>
    </xf>
    <xf numFmtId="166" fontId="4" fillId="4" borderId="0" xfId="2" applyNumberFormat="1" applyFont="1" applyFill="1" applyBorder="1" applyAlignment="1">
      <alignment horizontal="right" vertical="center"/>
    </xf>
    <xf numFmtId="0" fontId="3" fillId="2" borderId="10" xfId="1" applyFont="1" applyFill="1" applyBorder="1" applyAlignment="1">
      <alignment horizontal="left" vertical="center" indent="1"/>
    </xf>
    <xf numFmtId="165" fontId="3" fillId="2" borderId="10" xfId="2" applyNumberFormat="1" applyFont="1" applyFill="1" applyBorder="1" applyAlignment="1">
      <alignment horizontal="left" vertical="center" indent="1"/>
    </xf>
    <xf numFmtId="0" fontId="4" fillId="4" borderId="10" xfId="2" applyFont="1" applyFill="1" applyBorder="1" applyAlignment="1" applyProtection="1">
      <alignment horizontal="left" vertical="center"/>
    </xf>
    <xf numFmtId="0" fontId="3" fillId="2" borderId="10" xfId="2" applyFont="1" applyFill="1" applyBorder="1" applyAlignment="1">
      <alignment horizontal="left" vertical="center"/>
    </xf>
    <xf numFmtId="0" fontId="6" fillId="2" borderId="10" xfId="2" applyFont="1" applyFill="1" applyBorder="1"/>
    <xf numFmtId="0" fontId="4" fillId="4" borderId="10" xfId="2" applyFont="1" applyFill="1" applyBorder="1" applyAlignment="1">
      <alignment vertical="center"/>
    </xf>
    <xf numFmtId="0" fontId="4" fillId="2" borderId="10" xfId="2" applyFont="1" applyFill="1" applyBorder="1" applyAlignment="1">
      <alignment horizontal="left" vertical="center"/>
    </xf>
    <xf numFmtId="0" fontId="4" fillId="2" borderId="10" xfId="2" applyFont="1" applyFill="1" applyBorder="1" applyAlignment="1">
      <alignment vertical="center"/>
    </xf>
    <xf numFmtId="0" fontId="3" fillId="2" borderId="6" xfId="2" applyFont="1" applyFill="1" applyBorder="1" applyAlignment="1">
      <alignment horizontal="left" vertical="center" wrapText="1"/>
    </xf>
    <xf numFmtId="164" fontId="3" fillId="2" borderId="5" xfId="2" applyNumberFormat="1" applyFont="1" applyFill="1" applyBorder="1" applyAlignment="1">
      <alignment horizontal="right" vertical="center"/>
    </xf>
    <xf numFmtId="164" fontId="3" fillId="2" borderId="5" xfId="2" applyNumberFormat="1" applyFont="1" applyFill="1" applyBorder="1" applyAlignment="1">
      <alignment horizontal="right"/>
    </xf>
    <xf numFmtId="3" fontId="3" fillId="2" borderId="5" xfId="2" applyNumberFormat="1" applyFont="1" applyFill="1" applyBorder="1" applyAlignment="1">
      <alignment horizontal="right" vertical="center" wrapText="1"/>
    </xf>
    <xf numFmtId="0" fontId="3" fillId="2" borderId="0" xfId="2" applyFont="1" applyFill="1" applyBorder="1" applyAlignment="1"/>
    <xf numFmtId="0" fontId="4" fillId="2" borderId="0" xfId="2" applyFont="1" applyFill="1" applyBorder="1" applyAlignment="1">
      <alignment horizontal="right"/>
    </xf>
    <xf numFmtId="0" fontId="3" fillId="2" borderId="14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center" vertical="center" wrapText="1"/>
    </xf>
    <xf numFmtId="0" fontId="3" fillId="2" borderId="11" xfId="2" applyFont="1" applyFill="1" applyBorder="1" applyAlignment="1">
      <alignment horizontal="right" vertical="center"/>
    </xf>
    <xf numFmtId="0" fontId="3" fillId="2" borderId="11" xfId="2" applyFont="1" applyFill="1" applyBorder="1" applyAlignment="1">
      <alignment horizontal="right" vertical="center" wrapText="1"/>
    </xf>
    <xf numFmtId="165" fontId="3" fillId="2" borderId="0" xfId="2" applyNumberFormat="1" applyFont="1" applyFill="1" applyBorder="1" applyAlignment="1">
      <alignment horizontal="right" vertical="center"/>
    </xf>
    <xf numFmtId="0" fontId="4" fillId="3" borderId="9" xfId="1" applyFont="1" applyFill="1" applyBorder="1" applyAlignment="1">
      <alignment horizontal="center" vertical="center" wrapText="1"/>
    </xf>
    <xf numFmtId="0" fontId="4" fillId="3" borderId="2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/>
    </xf>
    <xf numFmtId="0" fontId="4" fillId="3" borderId="6" xfId="2" applyFont="1" applyFill="1" applyBorder="1" applyAlignment="1">
      <alignment horizontal="center" vertical="center" wrapText="1"/>
    </xf>
    <xf numFmtId="0" fontId="3" fillId="2" borderId="10" xfId="2" applyFont="1" applyFill="1" applyBorder="1" applyAlignment="1">
      <alignment horizontal="left" vertical="center" wrapText="1" indent="1"/>
    </xf>
    <xf numFmtId="0" fontId="3" fillId="2" borderId="10" xfId="2" applyFont="1" applyFill="1" applyBorder="1" applyAlignment="1">
      <alignment horizontal="left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164" fontId="4" fillId="4" borderId="0" xfId="1" applyNumberFormat="1" applyFont="1" applyFill="1" applyBorder="1" applyAlignment="1">
      <alignment horizontal="center" vertical="center"/>
    </xf>
    <xf numFmtId="164" fontId="3" fillId="2" borderId="0" xfId="1" applyNumberFormat="1" applyFont="1" applyFill="1" applyBorder="1" applyAlignment="1">
      <alignment horizontal="center"/>
    </xf>
    <xf numFmtId="165" fontId="3" fillId="2" borderId="0" xfId="1" applyNumberFormat="1" applyFont="1" applyFill="1" applyBorder="1" applyAlignment="1">
      <alignment horizontal="center"/>
    </xf>
    <xf numFmtId="3" fontId="3" fillId="2" borderId="0" xfId="1" applyNumberFormat="1" applyFont="1" applyFill="1" applyBorder="1" applyAlignment="1">
      <alignment horizontal="center" vertical="center" wrapText="1"/>
    </xf>
    <xf numFmtId="164" fontId="4" fillId="2" borderId="0" xfId="1" applyNumberFormat="1" applyFont="1" applyFill="1" applyBorder="1" applyAlignment="1">
      <alignment horizontal="center" vertical="center"/>
    </xf>
    <xf numFmtId="165" fontId="3" fillId="2" borderId="0" xfId="1" applyNumberFormat="1" applyFont="1" applyFill="1" applyBorder="1" applyAlignment="1">
      <alignment horizontal="center" vertical="center"/>
    </xf>
    <xf numFmtId="164" fontId="3" fillId="2" borderId="0" xfId="1" applyNumberFormat="1" applyFont="1" applyFill="1" applyBorder="1" applyAlignment="1">
      <alignment horizontal="center" vertical="center"/>
    </xf>
    <xf numFmtId="164" fontId="4" fillId="4" borderId="0" xfId="0" applyNumberFormat="1" applyFont="1" applyFill="1" applyBorder="1" applyAlignment="1">
      <alignment horizontal="center" vertical="center"/>
    </xf>
    <xf numFmtId="165" fontId="3" fillId="2" borderId="0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5" fontId="3" fillId="2" borderId="0" xfId="0" applyNumberFormat="1" applyFont="1" applyFill="1" applyBorder="1" applyAlignment="1">
      <alignment horizontal="right" vertical="center"/>
    </xf>
    <xf numFmtId="165" fontId="3" fillId="2" borderId="0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vertical="center"/>
    </xf>
    <xf numFmtId="164" fontId="4" fillId="4" borderId="0" xfId="0" applyNumberFormat="1" applyFont="1" applyFill="1" applyBorder="1" applyAlignment="1">
      <alignment horizontal="right" vertical="center"/>
    </xf>
    <xf numFmtId="164" fontId="4" fillId="4" borderId="0" xfId="0" applyNumberFormat="1" applyFont="1" applyFill="1" applyBorder="1" applyAlignment="1">
      <alignment vertical="center"/>
    </xf>
    <xf numFmtId="0" fontId="6" fillId="2" borderId="10" xfId="0" applyFont="1" applyFill="1" applyBorder="1"/>
    <xf numFmtId="3" fontId="3" fillId="2" borderId="0" xfId="0" applyNumberFormat="1" applyFont="1" applyFill="1" applyBorder="1" applyAlignment="1">
      <alignment horizontal="right" vertical="center"/>
    </xf>
    <xf numFmtId="0" fontId="6" fillId="2" borderId="5" xfId="0" applyFont="1" applyFill="1" applyBorder="1"/>
    <xf numFmtId="0" fontId="4" fillId="0" borderId="14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right"/>
    </xf>
    <xf numFmtId="0" fontId="3" fillId="2" borderId="11" xfId="2" applyFont="1" applyFill="1" applyBorder="1"/>
    <xf numFmtId="3" fontId="3" fillId="2" borderId="11" xfId="2" applyNumberFormat="1" applyFont="1" applyFill="1" applyBorder="1"/>
    <xf numFmtId="0" fontId="3" fillId="2" borderId="10" xfId="2" applyFont="1" applyFill="1" applyBorder="1" applyAlignment="1">
      <alignment horizontal="left" vertical="center" indent="1"/>
    </xf>
    <xf numFmtId="0" fontId="4" fillId="2" borderId="10" xfId="2" applyFont="1" applyFill="1" applyBorder="1" applyAlignment="1">
      <alignment horizontal="center" vertical="center" wrapText="1"/>
    </xf>
    <xf numFmtId="0" fontId="4" fillId="2" borderId="6" xfId="2" applyFont="1" applyFill="1" applyBorder="1" applyAlignment="1">
      <alignment horizontal="center" vertical="center" wrapText="1"/>
    </xf>
    <xf numFmtId="0" fontId="4" fillId="2" borderId="5" xfId="2" applyFont="1" applyFill="1" applyBorder="1" applyAlignment="1">
      <alignment horizontal="right" vertical="center"/>
    </xf>
    <xf numFmtId="0" fontId="4" fillId="2" borderId="5" xfId="2" applyFont="1" applyFill="1" applyBorder="1" applyAlignment="1">
      <alignment horizontal="right" vertical="center" wrapText="1"/>
    </xf>
    <xf numFmtId="0" fontId="3" fillId="2" borderId="5" xfId="2" applyFont="1" applyFill="1" applyBorder="1"/>
    <xf numFmtId="0" fontId="4" fillId="2" borderId="0" xfId="2" applyFont="1" applyFill="1" applyBorder="1" applyAlignment="1">
      <alignment horizontal="center" vertical="center" wrapText="1"/>
    </xf>
    <xf numFmtId="0" fontId="3" fillId="2" borderId="0" xfId="2" applyFont="1" applyFill="1" applyBorder="1" applyAlignment="1">
      <alignment horizontal="left"/>
    </xf>
    <xf numFmtId="0" fontId="4" fillId="3" borderId="9" xfId="2" applyFont="1" applyFill="1" applyBorder="1" applyAlignment="1">
      <alignment horizontal="center" vertical="center"/>
    </xf>
    <xf numFmtId="0" fontId="4" fillId="3" borderId="6" xfId="2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/>
    <xf numFmtId="0" fontId="4" fillId="2" borderId="0" xfId="0" applyFont="1" applyFill="1" applyBorder="1" applyAlignment="1">
      <alignment wrapText="1"/>
    </xf>
    <xf numFmtId="0" fontId="3" fillId="2" borderId="0" xfId="0" applyFont="1" applyFill="1" applyBorder="1" applyAlignment="1" applyProtection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2" borderId="0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2" borderId="0" xfId="2" applyFont="1" applyFill="1" applyBorder="1" applyAlignment="1">
      <alignment horizontal="left" vertical="center" wrapText="1"/>
    </xf>
    <xf numFmtId="0" fontId="4" fillId="2" borderId="0" xfId="2" applyFont="1" applyFill="1" applyAlignment="1">
      <alignment horizontal="center" vertical="center"/>
    </xf>
    <xf numFmtId="0" fontId="4" fillId="3" borderId="12" xfId="2" applyFont="1" applyFill="1" applyBorder="1" applyAlignment="1">
      <alignment horizontal="center" vertical="center" wrapText="1"/>
    </xf>
    <xf numFmtId="0" fontId="4" fillId="3" borderId="13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15" xfId="2" applyFont="1" applyFill="1" applyBorder="1" applyAlignment="1">
      <alignment horizontal="center" vertical="center" wrapText="1"/>
    </xf>
    <xf numFmtId="0" fontId="4" fillId="3" borderId="16" xfId="2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2" borderId="0" xfId="2" applyFont="1" applyFill="1" applyBorder="1" applyAlignment="1">
      <alignment horizontal="left" wrapText="1"/>
    </xf>
    <xf numFmtId="0" fontId="3" fillId="2" borderId="0" xfId="2" applyFont="1" applyFill="1" applyBorder="1" applyAlignment="1">
      <alignment horizontal="center" wrapText="1"/>
    </xf>
    <xf numFmtId="0" fontId="4" fillId="3" borderId="2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0" fontId="4" fillId="3" borderId="4" xfId="2" applyFont="1" applyFill="1" applyBorder="1" applyAlignment="1">
      <alignment horizontal="center" vertical="center"/>
    </xf>
  </cellXfs>
  <cellStyles count="5">
    <cellStyle name="Normal" xfId="0" builtinId="0"/>
    <cellStyle name="Normal 2" xfId="3"/>
    <cellStyle name="Normal 2 2" xfId="2"/>
    <cellStyle name="Normal 3" xfId="4"/>
    <cellStyle name="Normal 3 2 10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ECFF"/>
      <color rgb="FFDDF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"/>
  <sheetViews>
    <sheetView showGridLines="0" view="pageBreakPreview" zoomScale="145" zoomScaleNormal="100" zoomScaleSheetLayoutView="145" workbookViewId="0"/>
  </sheetViews>
  <sheetFormatPr baseColWidth="10" defaultRowHeight="12.75" x14ac:dyDescent="0.2"/>
  <sheetData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246"/>
  <sheetViews>
    <sheetView showGridLines="0" tabSelected="1" view="pageBreakPreview" zoomScale="145" zoomScaleNormal="100" zoomScaleSheetLayoutView="145" workbookViewId="0">
      <selection activeCell="A7" sqref="A7"/>
    </sheetView>
  </sheetViews>
  <sheetFormatPr baseColWidth="10" defaultRowHeight="12.75" x14ac:dyDescent="0.2"/>
  <cols>
    <col min="1" max="1" width="21.42578125" customWidth="1"/>
    <col min="2" max="7" width="10" customWidth="1"/>
  </cols>
  <sheetData>
    <row r="1" spans="1:7" ht="12.75" customHeight="1" x14ac:dyDescent="0.2">
      <c r="A1" s="205" t="s">
        <v>136</v>
      </c>
      <c r="B1" s="205"/>
      <c r="C1" s="205"/>
      <c r="D1" s="205"/>
      <c r="E1" s="205"/>
      <c r="F1" s="205"/>
      <c r="G1" s="205"/>
    </row>
    <row r="2" spans="1:7" ht="28.5" customHeight="1" x14ac:dyDescent="0.2">
      <c r="A2" s="206" t="s">
        <v>109</v>
      </c>
      <c r="B2" s="206"/>
      <c r="C2" s="206"/>
      <c r="D2" s="206"/>
      <c r="E2" s="206"/>
      <c r="F2" s="206"/>
      <c r="G2" s="206"/>
    </row>
    <row r="3" spans="1:7" ht="12.75" customHeight="1" x14ac:dyDescent="0.2">
      <c r="A3" s="207" t="s">
        <v>17</v>
      </c>
      <c r="B3" s="207"/>
      <c r="C3" s="207"/>
      <c r="D3" s="207"/>
      <c r="E3" s="207"/>
      <c r="F3" s="207"/>
      <c r="G3" s="207"/>
    </row>
    <row r="4" spans="1:7" ht="10.5" customHeight="1" thickBot="1" x14ac:dyDescent="0.25">
      <c r="A4" s="46"/>
      <c r="B4" s="46"/>
      <c r="C4" s="46"/>
      <c r="D4" s="46"/>
      <c r="E4" s="46"/>
      <c r="F4" s="46"/>
      <c r="G4" s="46"/>
    </row>
    <row r="5" spans="1:7" ht="12.75" customHeight="1" thickBot="1" x14ac:dyDescent="0.25">
      <c r="A5" s="208" t="s">
        <v>94</v>
      </c>
      <c r="B5" s="210" t="s">
        <v>117</v>
      </c>
      <c r="C5" s="211"/>
      <c r="D5" s="212"/>
      <c r="E5" s="210" t="s">
        <v>116</v>
      </c>
      <c r="F5" s="211"/>
      <c r="G5" s="212"/>
    </row>
    <row r="6" spans="1:7" ht="12.75" customHeight="1" thickBot="1" x14ac:dyDescent="0.25">
      <c r="A6" s="209"/>
      <c r="B6" s="53" t="s">
        <v>15</v>
      </c>
      <c r="C6" s="54" t="s">
        <v>14</v>
      </c>
      <c r="D6" s="55" t="s">
        <v>13</v>
      </c>
      <c r="E6" s="56" t="s">
        <v>15</v>
      </c>
      <c r="F6" s="56" t="s">
        <v>14</v>
      </c>
      <c r="G6" s="57" t="s">
        <v>13</v>
      </c>
    </row>
    <row r="7" spans="1:7" ht="3.75" customHeight="1" x14ac:dyDescent="0.25">
      <c r="A7" s="51"/>
      <c r="B7" s="58"/>
      <c r="C7" s="8"/>
      <c r="D7" s="8"/>
      <c r="E7" s="4"/>
      <c r="F7" s="4"/>
      <c r="G7" s="1"/>
    </row>
    <row r="8" spans="1:7" ht="10.5" customHeight="1" x14ac:dyDescent="0.2">
      <c r="A8" s="59" t="s">
        <v>15</v>
      </c>
      <c r="B8" s="60">
        <v>212823</v>
      </c>
      <c r="C8" s="61">
        <v>105183</v>
      </c>
      <c r="D8" s="61">
        <v>107640</v>
      </c>
      <c r="E8" s="61">
        <v>16382789</v>
      </c>
      <c r="F8" s="61">
        <v>7950827</v>
      </c>
      <c r="G8" s="61">
        <v>8431962</v>
      </c>
    </row>
    <row r="9" spans="1:7" ht="10.5" customHeight="1" x14ac:dyDescent="0.2">
      <c r="A9" s="13" t="s">
        <v>4</v>
      </c>
      <c r="B9" s="62">
        <v>24878</v>
      </c>
      <c r="C9" s="15">
        <v>12421</v>
      </c>
      <c r="D9" s="15">
        <v>12457</v>
      </c>
      <c r="E9" s="15">
        <v>1149805</v>
      </c>
      <c r="F9" s="15">
        <v>582407</v>
      </c>
      <c r="G9" s="15">
        <v>567398</v>
      </c>
    </row>
    <row r="10" spans="1:7" ht="10.5" customHeight="1" x14ac:dyDescent="0.2">
      <c r="A10" s="13" t="s">
        <v>3</v>
      </c>
      <c r="B10" s="62">
        <v>83033</v>
      </c>
      <c r="C10" s="15">
        <v>39713</v>
      </c>
      <c r="D10" s="15">
        <v>43320</v>
      </c>
      <c r="E10" s="15">
        <v>5240261</v>
      </c>
      <c r="F10" s="15">
        <v>2575627</v>
      </c>
      <c r="G10" s="15">
        <v>2664634</v>
      </c>
    </row>
    <row r="11" spans="1:7" ht="10.5" customHeight="1" x14ac:dyDescent="0.2">
      <c r="A11" s="13" t="s">
        <v>2</v>
      </c>
      <c r="B11" s="62">
        <v>58750</v>
      </c>
      <c r="C11" s="15">
        <v>29193</v>
      </c>
      <c r="D11" s="15">
        <v>29557</v>
      </c>
      <c r="E11" s="15">
        <v>4388477</v>
      </c>
      <c r="F11" s="15">
        <v>2112660</v>
      </c>
      <c r="G11" s="15">
        <v>2275817</v>
      </c>
    </row>
    <row r="12" spans="1:7" ht="10.5" customHeight="1" x14ac:dyDescent="0.2">
      <c r="A12" s="13" t="s">
        <v>1</v>
      </c>
      <c r="B12" s="62">
        <v>31157</v>
      </c>
      <c r="C12" s="15">
        <v>16048</v>
      </c>
      <c r="D12" s="15">
        <v>15109</v>
      </c>
      <c r="E12" s="15">
        <v>3153970</v>
      </c>
      <c r="F12" s="15">
        <v>1514001</v>
      </c>
      <c r="G12" s="15">
        <v>1639969</v>
      </c>
    </row>
    <row r="13" spans="1:7" ht="10.5" customHeight="1" x14ac:dyDescent="0.2">
      <c r="A13" s="13" t="s">
        <v>0</v>
      </c>
      <c r="B13" s="62">
        <v>15005</v>
      </c>
      <c r="C13" s="15">
        <v>7808</v>
      </c>
      <c r="D13" s="15">
        <v>7197</v>
      </c>
      <c r="E13" s="15">
        <v>2450276</v>
      </c>
      <c r="F13" s="15">
        <v>1166132</v>
      </c>
      <c r="G13" s="15">
        <v>1284144</v>
      </c>
    </row>
    <row r="14" spans="1:7" ht="10.5" customHeight="1" x14ac:dyDescent="0.25">
      <c r="A14" s="13"/>
      <c r="B14" s="63"/>
      <c r="C14" s="64"/>
      <c r="D14" s="64"/>
      <c r="E14" s="64"/>
      <c r="F14" s="64"/>
      <c r="G14" s="64"/>
    </row>
    <row r="15" spans="1:7" ht="10.5" customHeight="1" x14ac:dyDescent="0.2">
      <c r="A15" s="65" t="s">
        <v>37</v>
      </c>
      <c r="B15" s="66">
        <v>56337</v>
      </c>
      <c r="C15" s="67">
        <v>26827</v>
      </c>
      <c r="D15" s="67">
        <v>29510</v>
      </c>
      <c r="E15" s="67">
        <v>13996109</v>
      </c>
      <c r="F15" s="67">
        <v>6726342</v>
      </c>
      <c r="G15" s="67">
        <v>7269767</v>
      </c>
    </row>
    <row r="16" spans="1:7" ht="10.5" customHeight="1" x14ac:dyDescent="0.2">
      <c r="A16" s="13" t="s">
        <v>4</v>
      </c>
      <c r="B16" s="62">
        <v>4093</v>
      </c>
      <c r="C16" s="15">
        <v>1895</v>
      </c>
      <c r="D16" s="15">
        <v>2198</v>
      </c>
      <c r="E16" s="15">
        <v>933439</v>
      </c>
      <c r="F16" s="15">
        <v>471231</v>
      </c>
      <c r="G16" s="15">
        <v>462208</v>
      </c>
    </row>
    <row r="17" spans="1:7" ht="10.5" customHeight="1" x14ac:dyDescent="0.2">
      <c r="A17" s="13" t="s">
        <v>3</v>
      </c>
      <c r="B17" s="62">
        <v>22566</v>
      </c>
      <c r="C17" s="15">
        <v>10764</v>
      </c>
      <c r="D17" s="15">
        <v>11802</v>
      </c>
      <c r="E17" s="15">
        <v>4507084</v>
      </c>
      <c r="F17" s="15">
        <v>2204161</v>
      </c>
      <c r="G17" s="15">
        <v>2302923</v>
      </c>
    </row>
    <row r="18" spans="1:7" ht="10.5" customHeight="1" x14ac:dyDescent="0.2">
      <c r="A18" s="13" t="s">
        <v>2</v>
      </c>
      <c r="B18" s="62">
        <v>16581</v>
      </c>
      <c r="C18" s="15">
        <v>7893</v>
      </c>
      <c r="D18" s="15">
        <v>8688</v>
      </c>
      <c r="E18" s="15">
        <v>3773533</v>
      </c>
      <c r="F18" s="15">
        <v>1794199</v>
      </c>
      <c r="G18" s="15">
        <v>1979334</v>
      </c>
    </row>
    <row r="19" spans="1:7" ht="10.5" customHeight="1" x14ac:dyDescent="0.2">
      <c r="A19" s="13" t="s">
        <v>1</v>
      </c>
      <c r="B19" s="62">
        <v>8460</v>
      </c>
      <c r="C19" s="15">
        <v>4049</v>
      </c>
      <c r="D19" s="15">
        <v>4411</v>
      </c>
      <c r="E19" s="15">
        <v>2711205</v>
      </c>
      <c r="F19" s="15">
        <v>1282945</v>
      </c>
      <c r="G19" s="15">
        <v>1428260</v>
      </c>
    </row>
    <row r="20" spans="1:7" ht="10.5" customHeight="1" x14ac:dyDescent="0.2">
      <c r="A20" s="13" t="s">
        <v>0</v>
      </c>
      <c r="B20" s="62">
        <v>4637</v>
      </c>
      <c r="C20" s="15">
        <v>2226</v>
      </c>
      <c r="D20" s="15">
        <v>2411</v>
      </c>
      <c r="E20" s="15">
        <v>2070848</v>
      </c>
      <c r="F20" s="15">
        <v>973806</v>
      </c>
      <c r="G20" s="15">
        <v>1097042</v>
      </c>
    </row>
    <row r="21" spans="1:7" ht="10.5" customHeight="1" x14ac:dyDescent="0.25">
      <c r="A21" s="13"/>
      <c r="B21" s="63"/>
      <c r="C21" s="64"/>
      <c r="D21" s="64"/>
      <c r="E21" s="64"/>
      <c r="F21" s="64"/>
      <c r="G21" s="64"/>
    </row>
    <row r="22" spans="1:7" ht="10.5" customHeight="1" x14ac:dyDescent="0.2">
      <c r="A22" s="65" t="s">
        <v>36</v>
      </c>
      <c r="B22" s="66">
        <v>156486</v>
      </c>
      <c r="C22" s="67">
        <v>78356</v>
      </c>
      <c r="D22" s="67">
        <v>78130</v>
      </c>
      <c r="E22" s="67">
        <v>2386680</v>
      </c>
      <c r="F22" s="67">
        <v>1224485</v>
      </c>
      <c r="G22" s="67">
        <v>1162195</v>
      </c>
    </row>
    <row r="23" spans="1:7" ht="10.5" customHeight="1" x14ac:dyDescent="0.2">
      <c r="A23" s="13" t="s">
        <v>4</v>
      </c>
      <c r="B23" s="62">
        <v>20785</v>
      </c>
      <c r="C23" s="15">
        <v>10526</v>
      </c>
      <c r="D23" s="15">
        <v>10259</v>
      </c>
      <c r="E23" s="15">
        <v>216366</v>
      </c>
      <c r="F23" s="15">
        <v>111176</v>
      </c>
      <c r="G23" s="15">
        <v>105190</v>
      </c>
    </row>
    <row r="24" spans="1:7" ht="10.5" customHeight="1" x14ac:dyDescent="0.2">
      <c r="A24" s="13" t="s">
        <v>3</v>
      </c>
      <c r="B24" s="62">
        <v>60467</v>
      </c>
      <c r="C24" s="15">
        <v>28949</v>
      </c>
      <c r="D24" s="15">
        <v>31518</v>
      </c>
      <c r="E24" s="15">
        <v>733177</v>
      </c>
      <c r="F24" s="15">
        <v>371466</v>
      </c>
      <c r="G24" s="15">
        <v>361711</v>
      </c>
    </row>
    <row r="25" spans="1:7" ht="10.5" customHeight="1" x14ac:dyDescent="0.2">
      <c r="A25" s="13" t="s">
        <v>2</v>
      </c>
      <c r="B25" s="62">
        <v>42169</v>
      </c>
      <c r="C25" s="15">
        <v>21300</v>
      </c>
      <c r="D25" s="15">
        <v>20869</v>
      </c>
      <c r="E25" s="15">
        <v>614944</v>
      </c>
      <c r="F25" s="15">
        <v>318461</v>
      </c>
      <c r="G25" s="15">
        <v>296483</v>
      </c>
    </row>
    <row r="26" spans="1:7" ht="10.5" customHeight="1" x14ac:dyDescent="0.2">
      <c r="A26" s="13" t="s">
        <v>1</v>
      </c>
      <c r="B26" s="62">
        <v>22697</v>
      </c>
      <c r="C26" s="15">
        <v>11999</v>
      </c>
      <c r="D26" s="15">
        <v>10698</v>
      </c>
      <c r="E26" s="15">
        <v>442765</v>
      </c>
      <c r="F26" s="15">
        <v>231056</v>
      </c>
      <c r="G26" s="15">
        <v>211709</v>
      </c>
    </row>
    <row r="27" spans="1:7" ht="10.5" customHeight="1" x14ac:dyDescent="0.2">
      <c r="A27" s="13" t="s">
        <v>0</v>
      </c>
      <c r="B27" s="62">
        <v>10368</v>
      </c>
      <c r="C27" s="15">
        <v>5582</v>
      </c>
      <c r="D27" s="15">
        <v>4786</v>
      </c>
      <c r="E27" s="15">
        <v>379428</v>
      </c>
      <c r="F27" s="15">
        <v>192326</v>
      </c>
      <c r="G27" s="15">
        <v>187102</v>
      </c>
    </row>
    <row r="28" spans="1:7" ht="10.5" customHeight="1" x14ac:dyDescent="0.25">
      <c r="A28" s="68"/>
      <c r="B28" s="69"/>
      <c r="C28" s="70"/>
      <c r="D28" s="70"/>
      <c r="E28" s="71"/>
      <c r="F28" s="71"/>
      <c r="G28" s="64"/>
    </row>
    <row r="29" spans="1:7" ht="10.5" customHeight="1" x14ac:dyDescent="0.2">
      <c r="A29" s="59" t="s">
        <v>35</v>
      </c>
      <c r="B29" s="60">
        <v>34958</v>
      </c>
      <c r="C29" s="61">
        <v>17070</v>
      </c>
      <c r="D29" s="61">
        <v>17888</v>
      </c>
      <c r="E29" s="61">
        <v>228548</v>
      </c>
      <c r="F29" s="61">
        <v>115326</v>
      </c>
      <c r="G29" s="61">
        <v>113222</v>
      </c>
    </row>
    <row r="30" spans="1:7" ht="10.5" customHeight="1" x14ac:dyDescent="0.2">
      <c r="A30" s="13" t="s">
        <v>4</v>
      </c>
      <c r="B30" s="62">
        <v>4658</v>
      </c>
      <c r="C30" s="15">
        <v>2324</v>
      </c>
      <c r="D30" s="15">
        <v>2334</v>
      </c>
      <c r="E30" s="15">
        <v>18587</v>
      </c>
      <c r="F30" s="15">
        <v>9451</v>
      </c>
      <c r="G30" s="15">
        <v>9136</v>
      </c>
    </row>
    <row r="31" spans="1:7" ht="10.5" customHeight="1" x14ac:dyDescent="0.2">
      <c r="A31" s="13" t="s">
        <v>3</v>
      </c>
      <c r="B31" s="62">
        <v>13972</v>
      </c>
      <c r="C31" s="15">
        <v>6442</v>
      </c>
      <c r="D31" s="15">
        <v>7530</v>
      </c>
      <c r="E31" s="15">
        <v>69166</v>
      </c>
      <c r="F31" s="15">
        <v>34372</v>
      </c>
      <c r="G31" s="15">
        <v>34794</v>
      </c>
    </row>
    <row r="32" spans="1:7" ht="10.5" customHeight="1" x14ac:dyDescent="0.2">
      <c r="A32" s="13" t="s">
        <v>2</v>
      </c>
      <c r="B32" s="62">
        <v>9528</v>
      </c>
      <c r="C32" s="15">
        <v>4672</v>
      </c>
      <c r="D32" s="15">
        <v>4856</v>
      </c>
      <c r="E32" s="15">
        <v>61733</v>
      </c>
      <c r="F32" s="15">
        <v>30924</v>
      </c>
      <c r="G32" s="15">
        <v>30809</v>
      </c>
    </row>
    <row r="33" spans="1:7" ht="10.5" customHeight="1" x14ac:dyDescent="0.2">
      <c r="A33" s="13" t="s">
        <v>1</v>
      </c>
      <c r="B33" s="62">
        <v>4585</v>
      </c>
      <c r="C33" s="15">
        <v>2447</v>
      </c>
      <c r="D33" s="15">
        <v>2138</v>
      </c>
      <c r="E33" s="15">
        <v>44518</v>
      </c>
      <c r="F33" s="15">
        <v>23052</v>
      </c>
      <c r="G33" s="15">
        <v>21466</v>
      </c>
    </row>
    <row r="34" spans="1:7" ht="10.5" customHeight="1" x14ac:dyDescent="0.2">
      <c r="A34" s="13" t="s">
        <v>0</v>
      </c>
      <c r="B34" s="62">
        <v>2215</v>
      </c>
      <c r="C34" s="15">
        <v>1185</v>
      </c>
      <c r="D34" s="15">
        <v>1030</v>
      </c>
      <c r="E34" s="15">
        <v>34544</v>
      </c>
      <c r="F34" s="15">
        <v>17527</v>
      </c>
      <c r="G34" s="15">
        <v>17017</v>
      </c>
    </row>
    <row r="35" spans="1:7" ht="10.5" customHeight="1" x14ac:dyDescent="0.25">
      <c r="A35" s="50"/>
      <c r="B35" s="63"/>
      <c r="C35" s="64"/>
      <c r="D35" s="64"/>
      <c r="E35" s="64"/>
      <c r="F35" s="64"/>
      <c r="G35" s="64"/>
    </row>
    <row r="36" spans="1:7" ht="10.5" customHeight="1" x14ac:dyDescent="0.2">
      <c r="A36" s="59" t="s">
        <v>34</v>
      </c>
      <c r="B36" s="60">
        <v>211</v>
      </c>
      <c r="C36" s="61">
        <v>114</v>
      </c>
      <c r="D36" s="61">
        <v>97</v>
      </c>
      <c r="E36" s="61">
        <v>533048</v>
      </c>
      <c r="F36" s="61">
        <v>261806</v>
      </c>
      <c r="G36" s="61">
        <v>271242</v>
      </c>
    </row>
    <row r="37" spans="1:7" ht="10.5" customHeight="1" x14ac:dyDescent="0.2">
      <c r="A37" s="13" t="s">
        <v>4</v>
      </c>
      <c r="B37" s="62">
        <v>6</v>
      </c>
      <c r="C37" s="15">
        <v>5</v>
      </c>
      <c r="D37" s="15">
        <v>1</v>
      </c>
      <c r="E37" s="15">
        <v>37609</v>
      </c>
      <c r="F37" s="15">
        <v>19182</v>
      </c>
      <c r="G37" s="15">
        <v>18427</v>
      </c>
    </row>
    <row r="38" spans="1:7" ht="10.5" customHeight="1" x14ac:dyDescent="0.2">
      <c r="A38" s="13" t="s">
        <v>3</v>
      </c>
      <c r="B38" s="62">
        <v>72</v>
      </c>
      <c r="C38" s="15">
        <v>37</v>
      </c>
      <c r="D38" s="15">
        <v>35</v>
      </c>
      <c r="E38" s="15">
        <v>162974</v>
      </c>
      <c r="F38" s="15">
        <v>80444</v>
      </c>
      <c r="G38" s="15">
        <v>82530</v>
      </c>
    </row>
    <row r="39" spans="1:7" ht="10.5" customHeight="1" x14ac:dyDescent="0.2">
      <c r="A39" s="13" t="s">
        <v>2</v>
      </c>
      <c r="B39" s="62">
        <v>82</v>
      </c>
      <c r="C39" s="15">
        <v>45</v>
      </c>
      <c r="D39" s="15">
        <v>37</v>
      </c>
      <c r="E39" s="15">
        <v>138305</v>
      </c>
      <c r="F39" s="15">
        <v>67306</v>
      </c>
      <c r="G39" s="15">
        <v>70999</v>
      </c>
    </row>
    <row r="40" spans="1:7" ht="10.5" customHeight="1" x14ac:dyDescent="0.2">
      <c r="A40" s="13" t="s">
        <v>1</v>
      </c>
      <c r="B40" s="62">
        <v>41</v>
      </c>
      <c r="C40" s="15">
        <v>23</v>
      </c>
      <c r="D40" s="15">
        <v>18</v>
      </c>
      <c r="E40" s="15">
        <v>106427</v>
      </c>
      <c r="F40" s="15">
        <v>52086</v>
      </c>
      <c r="G40" s="15">
        <v>54341</v>
      </c>
    </row>
    <row r="41" spans="1:7" ht="10.5" customHeight="1" x14ac:dyDescent="0.2">
      <c r="A41" s="13" t="s">
        <v>0</v>
      </c>
      <c r="B41" s="62">
        <v>10</v>
      </c>
      <c r="C41" s="15">
        <v>4</v>
      </c>
      <c r="D41" s="15">
        <v>6</v>
      </c>
      <c r="E41" s="15">
        <v>87733</v>
      </c>
      <c r="F41" s="15">
        <v>42788</v>
      </c>
      <c r="G41" s="15">
        <v>44945</v>
      </c>
    </row>
    <row r="42" spans="1:7" ht="10.5" customHeight="1" x14ac:dyDescent="0.25">
      <c r="A42" s="50"/>
      <c r="B42" s="63"/>
      <c r="C42" s="64"/>
      <c r="D42" s="64"/>
      <c r="E42" s="64"/>
      <c r="F42" s="64"/>
      <c r="G42" s="64"/>
    </row>
    <row r="43" spans="1:7" ht="10.5" customHeight="1" x14ac:dyDescent="0.2">
      <c r="A43" s="59" t="s">
        <v>33</v>
      </c>
      <c r="B43" s="60">
        <v>144</v>
      </c>
      <c r="C43" s="61">
        <v>72</v>
      </c>
      <c r="D43" s="61">
        <v>72</v>
      </c>
      <c r="E43" s="61">
        <v>40128</v>
      </c>
      <c r="F43" s="61">
        <v>21124</v>
      </c>
      <c r="G43" s="61">
        <v>19004</v>
      </c>
    </row>
    <row r="44" spans="1:7" ht="10.5" customHeight="1" x14ac:dyDescent="0.2">
      <c r="A44" s="13" t="s">
        <v>4</v>
      </c>
      <c r="B44" s="62">
        <v>7</v>
      </c>
      <c r="C44" s="15">
        <v>5</v>
      </c>
      <c r="D44" s="15">
        <v>2</v>
      </c>
      <c r="E44" s="15">
        <v>3814</v>
      </c>
      <c r="F44" s="15">
        <v>1943</v>
      </c>
      <c r="G44" s="15">
        <v>1871</v>
      </c>
    </row>
    <row r="45" spans="1:7" ht="10.5" customHeight="1" x14ac:dyDescent="0.2">
      <c r="A45" s="13" t="s">
        <v>3</v>
      </c>
      <c r="B45" s="62">
        <v>60</v>
      </c>
      <c r="C45" s="15">
        <v>25</v>
      </c>
      <c r="D45" s="15">
        <v>35</v>
      </c>
      <c r="E45" s="15">
        <v>15400</v>
      </c>
      <c r="F45" s="15">
        <v>7806</v>
      </c>
      <c r="G45" s="15">
        <v>7594</v>
      </c>
    </row>
    <row r="46" spans="1:7" ht="10.5" customHeight="1" x14ac:dyDescent="0.2">
      <c r="A46" s="13" t="s">
        <v>2</v>
      </c>
      <c r="B46" s="62">
        <v>51</v>
      </c>
      <c r="C46" s="15">
        <v>24</v>
      </c>
      <c r="D46" s="15">
        <v>27</v>
      </c>
      <c r="E46" s="15">
        <v>9870</v>
      </c>
      <c r="F46" s="15">
        <v>5498</v>
      </c>
      <c r="G46" s="15">
        <v>4372</v>
      </c>
    </row>
    <row r="47" spans="1:7" ht="10.5" customHeight="1" x14ac:dyDescent="0.2">
      <c r="A47" s="13" t="s">
        <v>1</v>
      </c>
      <c r="B47" s="62">
        <v>20</v>
      </c>
      <c r="C47" s="15">
        <v>14</v>
      </c>
      <c r="D47" s="15">
        <v>6</v>
      </c>
      <c r="E47" s="15">
        <v>6581</v>
      </c>
      <c r="F47" s="15">
        <v>3567</v>
      </c>
      <c r="G47" s="15">
        <v>3014</v>
      </c>
    </row>
    <row r="48" spans="1:7" ht="10.5" customHeight="1" x14ac:dyDescent="0.2">
      <c r="A48" s="13" t="s">
        <v>0</v>
      </c>
      <c r="B48" s="62">
        <v>6</v>
      </c>
      <c r="C48" s="15">
        <v>4</v>
      </c>
      <c r="D48" s="15">
        <v>2</v>
      </c>
      <c r="E48" s="15">
        <v>4463</v>
      </c>
      <c r="F48" s="15">
        <v>2310</v>
      </c>
      <c r="G48" s="15">
        <v>2153</v>
      </c>
    </row>
    <row r="49" spans="1:7" ht="10.5" customHeight="1" x14ac:dyDescent="0.25">
      <c r="A49" s="13"/>
      <c r="B49" s="63"/>
      <c r="C49" s="64"/>
      <c r="D49" s="64"/>
      <c r="E49" s="64"/>
      <c r="F49" s="64"/>
      <c r="G49" s="64"/>
    </row>
    <row r="50" spans="1:7" ht="10.5" customHeight="1" x14ac:dyDescent="0.2">
      <c r="A50" s="59" t="s">
        <v>32</v>
      </c>
      <c r="B50" s="60">
        <v>627</v>
      </c>
      <c r="C50" s="61">
        <v>327</v>
      </c>
      <c r="D50" s="61">
        <v>300</v>
      </c>
      <c r="E50" s="61">
        <v>705710</v>
      </c>
      <c r="F50" s="61">
        <v>341302</v>
      </c>
      <c r="G50" s="61">
        <v>364408</v>
      </c>
    </row>
    <row r="51" spans="1:7" ht="10.5" customHeight="1" x14ac:dyDescent="0.2">
      <c r="A51" s="13" t="s">
        <v>4</v>
      </c>
      <c r="B51" s="62">
        <v>24</v>
      </c>
      <c r="C51" s="15">
        <v>9</v>
      </c>
      <c r="D51" s="15">
        <v>15</v>
      </c>
      <c r="E51" s="15">
        <v>46329</v>
      </c>
      <c r="F51" s="15">
        <v>23463</v>
      </c>
      <c r="G51" s="15">
        <v>22866</v>
      </c>
    </row>
    <row r="52" spans="1:7" ht="10.5" customHeight="1" x14ac:dyDescent="0.2">
      <c r="A52" s="13" t="s">
        <v>3</v>
      </c>
      <c r="B52" s="62">
        <v>273</v>
      </c>
      <c r="C52" s="15">
        <v>142</v>
      </c>
      <c r="D52" s="15">
        <v>131</v>
      </c>
      <c r="E52" s="15">
        <v>225600</v>
      </c>
      <c r="F52" s="15">
        <v>112070</v>
      </c>
      <c r="G52" s="15">
        <v>113530</v>
      </c>
    </row>
    <row r="53" spans="1:7" ht="10.5" customHeight="1" x14ac:dyDescent="0.2">
      <c r="A53" s="13" t="s">
        <v>2</v>
      </c>
      <c r="B53" s="62">
        <v>208</v>
      </c>
      <c r="C53" s="15">
        <v>116</v>
      </c>
      <c r="D53" s="15">
        <v>92</v>
      </c>
      <c r="E53" s="15">
        <v>183455</v>
      </c>
      <c r="F53" s="15">
        <v>87346</v>
      </c>
      <c r="G53" s="15">
        <v>96109</v>
      </c>
    </row>
    <row r="54" spans="1:7" ht="10.5" customHeight="1" x14ac:dyDescent="0.2">
      <c r="A54" s="13" t="s">
        <v>1</v>
      </c>
      <c r="B54" s="62">
        <v>76</v>
      </c>
      <c r="C54" s="15">
        <v>42</v>
      </c>
      <c r="D54" s="15">
        <v>34</v>
      </c>
      <c r="E54" s="15">
        <v>139736</v>
      </c>
      <c r="F54" s="15">
        <v>65799</v>
      </c>
      <c r="G54" s="15">
        <v>73937</v>
      </c>
    </row>
    <row r="55" spans="1:7" ht="10.5" customHeight="1" x14ac:dyDescent="0.2">
      <c r="A55" s="13" t="s">
        <v>0</v>
      </c>
      <c r="B55" s="62">
        <v>46</v>
      </c>
      <c r="C55" s="15">
        <v>18</v>
      </c>
      <c r="D55" s="15">
        <v>28</v>
      </c>
      <c r="E55" s="15">
        <v>110590</v>
      </c>
      <c r="F55" s="15">
        <v>52624</v>
      </c>
      <c r="G55" s="15">
        <v>57966</v>
      </c>
    </row>
    <row r="56" spans="1:7" ht="10.5" customHeight="1" x14ac:dyDescent="0.25">
      <c r="A56" s="13"/>
      <c r="B56" s="63"/>
      <c r="C56" s="64"/>
      <c r="D56" s="64"/>
      <c r="E56" s="64"/>
      <c r="F56" s="64"/>
      <c r="G56" s="64"/>
    </row>
    <row r="57" spans="1:7" ht="10.5" customHeight="1" x14ac:dyDescent="0.2">
      <c r="A57" s="59" t="s">
        <v>31</v>
      </c>
      <c r="B57" s="60">
        <v>314</v>
      </c>
      <c r="C57" s="61">
        <v>171</v>
      </c>
      <c r="D57" s="61">
        <v>143</v>
      </c>
      <c r="E57" s="61">
        <v>84703</v>
      </c>
      <c r="F57" s="61">
        <v>44381</v>
      </c>
      <c r="G57" s="61">
        <v>40322</v>
      </c>
    </row>
    <row r="58" spans="1:7" ht="10.5" customHeight="1" x14ac:dyDescent="0.2">
      <c r="A58" s="13" t="s">
        <v>4</v>
      </c>
      <c r="B58" s="62">
        <v>24</v>
      </c>
      <c r="C58" s="15">
        <v>7</v>
      </c>
      <c r="D58" s="15">
        <v>17</v>
      </c>
      <c r="E58" s="15">
        <v>8262</v>
      </c>
      <c r="F58" s="15">
        <v>4169</v>
      </c>
      <c r="G58" s="15">
        <v>4093</v>
      </c>
    </row>
    <row r="59" spans="1:7" ht="10.5" customHeight="1" x14ac:dyDescent="0.2">
      <c r="A59" s="13" t="s">
        <v>3</v>
      </c>
      <c r="B59" s="62">
        <v>160</v>
      </c>
      <c r="C59" s="15">
        <v>84</v>
      </c>
      <c r="D59" s="15">
        <v>76</v>
      </c>
      <c r="E59" s="15">
        <v>32872</v>
      </c>
      <c r="F59" s="15">
        <v>17114</v>
      </c>
      <c r="G59" s="15">
        <v>15758</v>
      </c>
    </row>
    <row r="60" spans="1:7" ht="10.5" customHeight="1" x14ac:dyDescent="0.2">
      <c r="A60" s="13" t="s">
        <v>2</v>
      </c>
      <c r="B60" s="62">
        <v>89</v>
      </c>
      <c r="C60" s="15">
        <v>57</v>
      </c>
      <c r="D60" s="15">
        <v>32</v>
      </c>
      <c r="E60" s="15">
        <v>20923</v>
      </c>
      <c r="F60" s="15">
        <v>11163</v>
      </c>
      <c r="G60" s="15">
        <v>9760</v>
      </c>
    </row>
    <row r="61" spans="1:7" ht="10.5" customHeight="1" x14ac:dyDescent="0.2">
      <c r="A61" s="13" t="s">
        <v>1</v>
      </c>
      <c r="B61" s="62">
        <v>28</v>
      </c>
      <c r="C61" s="15">
        <v>15</v>
      </c>
      <c r="D61" s="15">
        <v>13</v>
      </c>
      <c r="E61" s="15">
        <v>12996</v>
      </c>
      <c r="F61" s="15">
        <v>7009</v>
      </c>
      <c r="G61" s="15">
        <v>5987</v>
      </c>
    </row>
    <row r="62" spans="1:7" ht="10.5" customHeight="1" x14ac:dyDescent="0.2">
      <c r="A62" s="13" t="s">
        <v>0</v>
      </c>
      <c r="B62" s="62">
        <v>13</v>
      </c>
      <c r="C62" s="15">
        <v>8</v>
      </c>
      <c r="D62" s="15">
        <v>5</v>
      </c>
      <c r="E62" s="15">
        <v>9650</v>
      </c>
      <c r="F62" s="15">
        <v>4926</v>
      </c>
      <c r="G62" s="15">
        <v>4724</v>
      </c>
    </row>
    <row r="63" spans="1:7" ht="4.5" customHeight="1" thickBot="1" x14ac:dyDescent="0.3">
      <c r="A63" s="72"/>
      <c r="B63" s="73"/>
      <c r="C63" s="74"/>
      <c r="D63" s="75"/>
      <c r="E63" s="76"/>
      <c r="F63" s="76"/>
      <c r="G63" s="76"/>
    </row>
    <row r="64" spans="1:7" ht="10.5" customHeight="1" x14ac:dyDescent="0.25">
      <c r="A64" s="48"/>
      <c r="B64" s="7"/>
      <c r="C64" s="7"/>
      <c r="D64" s="6"/>
      <c r="E64" s="28"/>
      <c r="F64" s="28"/>
      <c r="G64" s="7" t="s">
        <v>83</v>
      </c>
    </row>
    <row r="65" spans="1:7" ht="12.75" customHeight="1" x14ac:dyDescent="0.2">
      <c r="A65" s="205" t="str">
        <f>A$1</f>
        <v>CUADRO Nº 2.1</v>
      </c>
      <c r="B65" s="205"/>
      <c r="C65" s="205"/>
      <c r="D65" s="205"/>
      <c r="E65" s="205"/>
      <c r="F65" s="205"/>
      <c r="G65" s="205"/>
    </row>
    <row r="66" spans="1:7" ht="20.25" customHeight="1" x14ac:dyDescent="0.2">
      <c r="A66" s="206" t="str">
        <f>A$2</f>
        <v>PERÚ: POBLACIÓN CENSADA INDÍGENA U ORIGINARIA DE LA AMAZONÍA, BLANCA(O), MESTIZA(O) Y OTRA(O) DE 12 Y MÁS AÑOS DE EDAD, POR SEXO, SEGÚN GRUPO ESPECIAL DE EDAD, ÁREA DE RESIDENCIA Y DEPARTAMENTO, 2017</v>
      </c>
      <c r="B66" s="206"/>
      <c r="C66" s="206"/>
      <c r="D66" s="206"/>
      <c r="E66" s="206"/>
      <c r="F66" s="206"/>
      <c r="G66" s="206"/>
    </row>
    <row r="67" spans="1:7" ht="12.75" customHeight="1" x14ac:dyDescent="0.2">
      <c r="A67" s="207" t="str">
        <f>A$3</f>
        <v>(Cifras absolutas)</v>
      </c>
      <c r="B67" s="207"/>
      <c r="C67" s="207"/>
      <c r="D67" s="207"/>
      <c r="E67" s="207"/>
      <c r="F67" s="207"/>
      <c r="G67" s="207"/>
    </row>
    <row r="68" spans="1:7" ht="10.5" customHeight="1" thickBot="1" x14ac:dyDescent="0.25">
      <c r="A68" s="46"/>
      <c r="B68" s="46"/>
      <c r="C68" s="46"/>
      <c r="D68" s="46"/>
      <c r="E68" s="46"/>
      <c r="F68" s="46"/>
      <c r="G68" s="46"/>
    </row>
    <row r="69" spans="1:7" ht="12.75" customHeight="1" thickBot="1" x14ac:dyDescent="0.25">
      <c r="A69" s="208" t="str">
        <f>A$5</f>
        <v>Grupo especial de edad / Área de residencia y departamento</v>
      </c>
      <c r="B69" s="210" t="str">
        <f>B$5</f>
        <v>Indígena u originaria de la Amazonía</v>
      </c>
      <c r="C69" s="211"/>
      <c r="D69" s="212"/>
      <c r="E69" s="210" t="s">
        <v>116</v>
      </c>
      <c r="F69" s="211"/>
      <c r="G69" s="212"/>
    </row>
    <row r="70" spans="1:7" ht="12.75" customHeight="1" thickBot="1" x14ac:dyDescent="0.25">
      <c r="A70" s="209"/>
      <c r="B70" s="54" t="str">
        <f t="shared" ref="B70:G70" si="0">B$6</f>
        <v>Total</v>
      </c>
      <c r="C70" s="54" t="str">
        <f t="shared" si="0"/>
        <v>Hombre</v>
      </c>
      <c r="D70" s="55" t="str">
        <f t="shared" si="0"/>
        <v>Mujer</v>
      </c>
      <c r="E70" s="54" t="str">
        <f t="shared" si="0"/>
        <v>Total</v>
      </c>
      <c r="F70" s="54" t="str">
        <f t="shared" si="0"/>
        <v>Hombre</v>
      </c>
      <c r="G70" s="55" t="str">
        <f t="shared" si="0"/>
        <v>Mujer</v>
      </c>
    </row>
    <row r="71" spans="1:7" ht="3.75" customHeight="1" x14ac:dyDescent="0.25">
      <c r="A71" s="77"/>
      <c r="B71" s="9"/>
      <c r="C71" s="8"/>
      <c r="D71" s="8"/>
      <c r="E71" s="4"/>
      <c r="F71" s="4"/>
      <c r="G71" s="1"/>
    </row>
    <row r="72" spans="1:7" ht="10.5" customHeight="1" x14ac:dyDescent="0.2">
      <c r="A72" s="78" t="s">
        <v>30</v>
      </c>
      <c r="B72" s="61">
        <v>1963</v>
      </c>
      <c r="C72" s="61">
        <v>955</v>
      </c>
      <c r="D72" s="61">
        <v>1008</v>
      </c>
      <c r="E72" s="61">
        <v>898798</v>
      </c>
      <c r="F72" s="61">
        <v>435186</v>
      </c>
      <c r="G72" s="61">
        <v>463612</v>
      </c>
    </row>
    <row r="73" spans="1:7" ht="10.5" customHeight="1" x14ac:dyDescent="0.2">
      <c r="A73" s="79" t="s">
        <v>4</v>
      </c>
      <c r="B73" s="15">
        <v>178</v>
      </c>
      <c r="C73" s="15">
        <v>91</v>
      </c>
      <c r="D73" s="15">
        <v>87</v>
      </c>
      <c r="E73" s="15">
        <v>72709</v>
      </c>
      <c r="F73" s="15">
        <v>36918</v>
      </c>
      <c r="G73" s="15">
        <v>35791</v>
      </c>
    </row>
    <row r="74" spans="1:7" ht="10.5" customHeight="1" x14ac:dyDescent="0.2">
      <c r="A74" s="79" t="s">
        <v>3</v>
      </c>
      <c r="B74" s="15">
        <v>756</v>
      </c>
      <c r="C74" s="15">
        <v>349</v>
      </c>
      <c r="D74" s="15">
        <v>407</v>
      </c>
      <c r="E74" s="15">
        <v>272313</v>
      </c>
      <c r="F74" s="15">
        <v>131942</v>
      </c>
      <c r="G74" s="15">
        <v>140371</v>
      </c>
    </row>
    <row r="75" spans="1:7" ht="10.5" customHeight="1" x14ac:dyDescent="0.2">
      <c r="A75" s="79" t="s">
        <v>2</v>
      </c>
      <c r="B75" s="15">
        <v>537</v>
      </c>
      <c r="C75" s="15">
        <v>274</v>
      </c>
      <c r="D75" s="15">
        <v>263</v>
      </c>
      <c r="E75" s="15">
        <v>242824</v>
      </c>
      <c r="F75" s="15">
        <v>116764</v>
      </c>
      <c r="G75" s="15">
        <v>126060</v>
      </c>
    </row>
    <row r="76" spans="1:7" ht="10.5" customHeight="1" x14ac:dyDescent="0.2">
      <c r="A76" s="79" t="s">
        <v>1</v>
      </c>
      <c r="B76" s="15">
        <v>293</v>
      </c>
      <c r="C76" s="15">
        <v>145</v>
      </c>
      <c r="D76" s="15">
        <v>148</v>
      </c>
      <c r="E76" s="15">
        <v>169336</v>
      </c>
      <c r="F76" s="15">
        <v>81784</v>
      </c>
      <c r="G76" s="15">
        <v>87552</v>
      </c>
    </row>
    <row r="77" spans="1:7" ht="10.5" customHeight="1" x14ac:dyDescent="0.2">
      <c r="A77" s="79" t="s">
        <v>0</v>
      </c>
      <c r="B77" s="15">
        <v>199</v>
      </c>
      <c r="C77" s="15">
        <v>96</v>
      </c>
      <c r="D77" s="15">
        <v>103</v>
      </c>
      <c r="E77" s="15">
        <v>141616</v>
      </c>
      <c r="F77" s="15">
        <v>67778</v>
      </c>
      <c r="G77" s="15">
        <v>73838</v>
      </c>
    </row>
    <row r="78" spans="1:7" ht="10.5" customHeight="1" x14ac:dyDescent="0.25">
      <c r="A78" s="80"/>
      <c r="B78" s="70"/>
      <c r="C78" s="70"/>
      <c r="D78" s="70"/>
      <c r="E78" s="71"/>
      <c r="F78" s="71"/>
      <c r="G78" s="71"/>
    </row>
    <row r="79" spans="1:7" ht="10.5" customHeight="1" x14ac:dyDescent="0.2">
      <c r="A79" s="81" t="s">
        <v>29</v>
      </c>
      <c r="B79" s="61">
        <v>1501</v>
      </c>
      <c r="C79" s="61">
        <v>684</v>
      </c>
      <c r="D79" s="61">
        <v>817</v>
      </c>
      <c r="E79" s="61">
        <v>672667</v>
      </c>
      <c r="F79" s="61">
        <v>323007</v>
      </c>
      <c r="G79" s="61">
        <v>349660</v>
      </c>
    </row>
    <row r="80" spans="1:7" ht="10.5" customHeight="1" x14ac:dyDescent="0.2">
      <c r="A80" s="79" t="s">
        <v>4</v>
      </c>
      <c r="B80" s="15">
        <v>53</v>
      </c>
      <c r="C80" s="15">
        <v>19</v>
      </c>
      <c r="D80" s="15">
        <v>34</v>
      </c>
      <c r="E80" s="15">
        <v>43098</v>
      </c>
      <c r="F80" s="15">
        <v>21795</v>
      </c>
      <c r="G80" s="15">
        <v>21303</v>
      </c>
    </row>
    <row r="81" spans="1:7" ht="10.5" customHeight="1" x14ac:dyDescent="0.2">
      <c r="A81" s="79" t="s">
        <v>3</v>
      </c>
      <c r="B81" s="15">
        <v>523</v>
      </c>
      <c r="C81" s="15">
        <v>240</v>
      </c>
      <c r="D81" s="15">
        <v>283</v>
      </c>
      <c r="E81" s="15">
        <v>210321</v>
      </c>
      <c r="F81" s="15">
        <v>103611</v>
      </c>
      <c r="G81" s="15">
        <v>106710</v>
      </c>
    </row>
    <row r="82" spans="1:7" ht="10.5" customHeight="1" x14ac:dyDescent="0.2">
      <c r="A82" s="79" t="s">
        <v>2</v>
      </c>
      <c r="B82" s="15">
        <v>531</v>
      </c>
      <c r="C82" s="15">
        <v>264</v>
      </c>
      <c r="D82" s="15">
        <v>267</v>
      </c>
      <c r="E82" s="15">
        <v>184105</v>
      </c>
      <c r="F82" s="15">
        <v>87552</v>
      </c>
      <c r="G82" s="15">
        <v>96553</v>
      </c>
    </row>
    <row r="83" spans="1:7" ht="10.5" customHeight="1" x14ac:dyDescent="0.2">
      <c r="A83" s="79" t="s">
        <v>1</v>
      </c>
      <c r="B83" s="15">
        <v>250</v>
      </c>
      <c r="C83" s="15">
        <v>99</v>
      </c>
      <c r="D83" s="15">
        <v>151</v>
      </c>
      <c r="E83" s="15">
        <v>131969</v>
      </c>
      <c r="F83" s="15">
        <v>61958</v>
      </c>
      <c r="G83" s="15">
        <v>70011</v>
      </c>
    </row>
    <row r="84" spans="1:7" ht="10.5" customHeight="1" x14ac:dyDescent="0.2">
      <c r="A84" s="79" t="s">
        <v>0</v>
      </c>
      <c r="B84" s="15">
        <v>144</v>
      </c>
      <c r="C84" s="15">
        <v>62</v>
      </c>
      <c r="D84" s="15">
        <v>82</v>
      </c>
      <c r="E84" s="15">
        <v>103174</v>
      </c>
      <c r="F84" s="15">
        <v>48091</v>
      </c>
      <c r="G84" s="15">
        <v>55083</v>
      </c>
    </row>
    <row r="85" spans="1:7" ht="10.5" customHeight="1" x14ac:dyDescent="0.25">
      <c r="A85" s="82"/>
      <c r="B85" s="64"/>
      <c r="C85" s="64"/>
      <c r="D85" s="64"/>
      <c r="E85" s="64"/>
      <c r="F85" s="64"/>
      <c r="G85" s="64"/>
    </row>
    <row r="86" spans="1:7" ht="10.5" customHeight="1" x14ac:dyDescent="0.2">
      <c r="A86" s="78" t="s">
        <v>28</v>
      </c>
      <c r="B86" s="61">
        <v>6969</v>
      </c>
      <c r="C86" s="61">
        <v>3473</v>
      </c>
      <c r="D86" s="61">
        <v>3496</v>
      </c>
      <c r="E86" s="61">
        <v>225050</v>
      </c>
      <c r="F86" s="61">
        <v>113151</v>
      </c>
      <c r="G86" s="61">
        <v>111899</v>
      </c>
    </row>
    <row r="87" spans="1:7" ht="10.5" customHeight="1" x14ac:dyDescent="0.2">
      <c r="A87" s="79" t="s">
        <v>4</v>
      </c>
      <c r="B87" s="15">
        <v>860</v>
      </c>
      <c r="C87" s="15">
        <v>419</v>
      </c>
      <c r="D87" s="15">
        <v>441</v>
      </c>
      <c r="E87" s="15">
        <v>17818</v>
      </c>
      <c r="F87" s="15">
        <v>9099</v>
      </c>
      <c r="G87" s="15">
        <v>8719</v>
      </c>
    </row>
    <row r="88" spans="1:7" ht="10.5" customHeight="1" x14ac:dyDescent="0.2">
      <c r="A88" s="79" t="s">
        <v>3</v>
      </c>
      <c r="B88" s="15">
        <v>2805</v>
      </c>
      <c r="C88" s="15">
        <v>1410</v>
      </c>
      <c r="D88" s="15">
        <v>1395</v>
      </c>
      <c r="E88" s="15">
        <v>79637</v>
      </c>
      <c r="F88" s="15">
        <v>40237</v>
      </c>
      <c r="G88" s="15">
        <v>39400</v>
      </c>
    </row>
    <row r="89" spans="1:7" ht="10.5" customHeight="1" x14ac:dyDescent="0.2">
      <c r="A89" s="79" t="s">
        <v>2</v>
      </c>
      <c r="B89" s="15">
        <v>1899</v>
      </c>
      <c r="C89" s="15">
        <v>925</v>
      </c>
      <c r="D89" s="15">
        <v>974</v>
      </c>
      <c r="E89" s="15">
        <v>57428</v>
      </c>
      <c r="F89" s="15">
        <v>28911</v>
      </c>
      <c r="G89" s="15">
        <v>28517</v>
      </c>
    </row>
    <row r="90" spans="1:7" ht="10.5" customHeight="1" x14ac:dyDescent="0.2">
      <c r="A90" s="79" t="s">
        <v>1</v>
      </c>
      <c r="B90" s="15">
        <v>1003</v>
      </c>
      <c r="C90" s="15">
        <v>515</v>
      </c>
      <c r="D90" s="15">
        <v>488</v>
      </c>
      <c r="E90" s="15">
        <v>41359</v>
      </c>
      <c r="F90" s="15">
        <v>20684</v>
      </c>
      <c r="G90" s="15">
        <v>20675</v>
      </c>
    </row>
    <row r="91" spans="1:7" ht="10.5" customHeight="1" x14ac:dyDescent="0.2">
      <c r="A91" s="79" t="s">
        <v>0</v>
      </c>
      <c r="B91" s="15">
        <v>402</v>
      </c>
      <c r="C91" s="15">
        <v>204</v>
      </c>
      <c r="D91" s="15">
        <v>198</v>
      </c>
      <c r="E91" s="15">
        <v>28808</v>
      </c>
      <c r="F91" s="15">
        <v>14220</v>
      </c>
      <c r="G91" s="15">
        <v>14588</v>
      </c>
    </row>
    <row r="92" spans="1:7" ht="10.5" customHeight="1" x14ac:dyDescent="0.25">
      <c r="A92" s="82"/>
      <c r="B92" s="64"/>
      <c r="C92" s="64"/>
      <c r="D92" s="64"/>
      <c r="E92" s="64"/>
      <c r="F92" s="64"/>
      <c r="G92" s="64"/>
    </row>
    <row r="93" spans="1:7" ht="10.5" customHeight="1" x14ac:dyDescent="0.2">
      <c r="A93" s="78" t="s">
        <v>27</v>
      </c>
      <c r="B93" s="61">
        <v>48</v>
      </c>
      <c r="C93" s="61">
        <v>24</v>
      </c>
      <c r="D93" s="61">
        <v>24</v>
      </c>
      <c r="E93" s="61">
        <v>50752</v>
      </c>
      <c r="F93" s="61">
        <v>25671</v>
      </c>
      <c r="G93" s="61">
        <v>25081</v>
      </c>
    </row>
    <row r="94" spans="1:7" ht="10.5" customHeight="1" x14ac:dyDescent="0.2">
      <c r="A94" s="79" t="s">
        <v>4</v>
      </c>
      <c r="B94" s="15">
        <v>4</v>
      </c>
      <c r="C94" s="15">
        <v>0</v>
      </c>
      <c r="D94" s="15">
        <v>4</v>
      </c>
      <c r="E94" s="15">
        <v>5037</v>
      </c>
      <c r="F94" s="15">
        <v>2572</v>
      </c>
      <c r="G94" s="15">
        <v>2465</v>
      </c>
    </row>
    <row r="95" spans="1:7" ht="10.5" customHeight="1" x14ac:dyDescent="0.2">
      <c r="A95" s="79" t="s">
        <v>3</v>
      </c>
      <c r="B95" s="15">
        <v>29</v>
      </c>
      <c r="C95" s="15">
        <v>15</v>
      </c>
      <c r="D95" s="15">
        <v>14</v>
      </c>
      <c r="E95" s="15">
        <v>19255</v>
      </c>
      <c r="F95" s="15">
        <v>9728</v>
      </c>
      <c r="G95" s="15">
        <v>9527</v>
      </c>
    </row>
    <row r="96" spans="1:7" ht="10.5" customHeight="1" x14ac:dyDescent="0.2">
      <c r="A96" s="79" t="s">
        <v>2</v>
      </c>
      <c r="B96" s="15">
        <v>12</v>
      </c>
      <c r="C96" s="15">
        <v>8</v>
      </c>
      <c r="D96" s="15">
        <v>4</v>
      </c>
      <c r="E96" s="15">
        <v>11589</v>
      </c>
      <c r="F96" s="15">
        <v>5862</v>
      </c>
      <c r="G96" s="15">
        <v>5727</v>
      </c>
    </row>
    <row r="97" spans="1:7" ht="10.5" customHeight="1" x14ac:dyDescent="0.2">
      <c r="A97" s="79" t="s">
        <v>1</v>
      </c>
      <c r="B97" s="15">
        <v>2</v>
      </c>
      <c r="C97" s="15">
        <v>0</v>
      </c>
      <c r="D97" s="15">
        <v>2</v>
      </c>
      <c r="E97" s="15">
        <v>8267</v>
      </c>
      <c r="F97" s="15">
        <v>4274</v>
      </c>
      <c r="G97" s="15">
        <v>3993</v>
      </c>
    </row>
    <row r="98" spans="1:7" ht="10.5" customHeight="1" x14ac:dyDescent="0.2">
      <c r="A98" s="79" t="s">
        <v>0</v>
      </c>
      <c r="B98" s="15">
        <v>1</v>
      </c>
      <c r="C98" s="15">
        <v>1</v>
      </c>
      <c r="D98" s="15">
        <v>0</v>
      </c>
      <c r="E98" s="15">
        <v>6604</v>
      </c>
      <c r="F98" s="15">
        <v>3235</v>
      </c>
      <c r="G98" s="15">
        <v>3369</v>
      </c>
    </row>
    <row r="99" spans="1:7" ht="10.5" customHeight="1" x14ac:dyDescent="0.25">
      <c r="A99" s="82"/>
      <c r="B99" s="64"/>
      <c r="C99" s="64"/>
      <c r="D99" s="64"/>
      <c r="E99" s="64"/>
      <c r="F99" s="64"/>
      <c r="G99" s="64"/>
    </row>
    <row r="100" spans="1:7" ht="10.5" customHeight="1" x14ac:dyDescent="0.2">
      <c r="A100" s="78" t="s">
        <v>26</v>
      </c>
      <c r="B100" s="61">
        <v>2211</v>
      </c>
      <c r="C100" s="61">
        <v>1090</v>
      </c>
      <c r="D100" s="61">
        <v>1121</v>
      </c>
      <c r="E100" s="61">
        <v>298719</v>
      </c>
      <c r="F100" s="61">
        <v>148483</v>
      </c>
      <c r="G100" s="61">
        <v>150236</v>
      </c>
    </row>
    <row r="101" spans="1:7" ht="10.5" customHeight="1" x14ac:dyDescent="0.2">
      <c r="A101" s="79" t="s">
        <v>4</v>
      </c>
      <c r="B101" s="15">
        <v>215</v>
      </c>
      <c r="C101" s="15">
        <v>105</v>
      </c>
      <c r="D101" s="15">
        <v>110</v>
      </c>
      <c r="E101" s="15">
        <v>26386</v>
      </c>
      <c r="F101" s="15">
        <v>13389</v>
      </c>
      <c r="G101" s="15">
        <v>12997</v>
      </c>
    </row>
    <row r="102" spans="1:7" ht="10.5" customHeight="1" x14ac:dyDescent="0.2">
      <c r="A102" s="79" t="s">
        <v>3</v>
      </c>
      <c r="B102" s="15">
        <v>781</v>
      </c>
      <c r="C102" s="15">
        <v>396</v>
      </c>
      <c r="D102" s="15">
        <v>385</v>
      </c>
      <c r="E102" s="15">
        <v>103649</v>
      </c>
      <c r="F102" s="15">
        <v>51326</v>
      </c>
      <c r="G102" s="15">
        <v>52323</v>
      </c>
    </row>
    <row r="103" spans="1:7" ht="10.5" customHeight="1" x14ac:dyDescent="0.2">
      <c r="A103" s="79" t="s">
        <v>2</v>
      </c>
      <c r="B103" s="15">
        <v>667</v>
      </c>
      <c r="C103" s="15">
        <v>333</v>
      </c>
      <c r="D103" s="15">
        <v>334</v>
      </c>
      <c r="E103" s="15">
        <v>77799</v>
      </c>
      <c r="F103" s="15">
        <v>38442</v>
      </c>
      <c r="G103" s="15">
        <v>39357</v>
      </c>
    </row>
    <row r="104" spans="1:7" ht="10.5" customHeight="1" x14ac:dyDescent="0.2">
      <c r="A104" s="79" t="s">
        <v>1</v>
      </c>
      <c r="B104" s="15">
        <v>382</v>
      </c>
      <c r="C104" s="15">
        <v>177</v>
      </c>
      <c r="D104" s="15">
        <v>205</v>
      </c>
      <c r="E104" s="15">
        <v>53108</v>
      </c>
      <c r="F104" s="15">
        <v>26560</v>
      </c>
      <c r="G104" s="15">
        <v>26548</v>
      </c>
    </row>
    <row r="105" spans="1:7" ht="10.5" customHeight="1" x14ac:dyDescent="0.2">
      <c r="A105" s="79" t="s">
        <v>0</v>
      </c>
      <c r="B105" s="15">
        <v>166</v>
      </c>
      <c r="C105" s="15">
        <v>79</v>
      </c>
      <c r="D105" s="15">
        <v>87</v>
      </c>
      <c r="E105" s="15">
        <v>37777</v>
      </c>
      <c r="F105" s="15">
        <v>18766</v>
      </c>
      <c r="G105" s="15">
        <v>19011</v>
      </c>
    </row>
    <row r="106" spans="1:7" ht="10.5" customHeight="1" x14ac:dyDescent="0.25">
      <c r="A106" s="82"/>
      <c r="B106" s="64"/>
      <c r="C106" s="64"/>
      <c r="D106" s="64"/>
      <c r="E106" s="64"/>
      <c r="F106" s="64"/>
      <c r="G106" s="64"/>
    </row>
    <row r="107" spans="1:7" ht="10.5" customHeight="1" x14ac:dyDescent="0.2">
      <c r="A107" s="78" t="s">
        <v>25</v>
      </c>
      <c r="B107" s="61">
        <v>833</v>
      </c>
      <c r="C107" s="61">
        <v>447</v>
      </c>
      <c r="D107" s="61">
        <v>386</v>
      </c>
      <c r="E107" s="61">
        <v>530691</v>
      </c>
      <c r="F107" s="61">
        <v>257973</v>
      </c>
      <c r="G107" s="61">
        <v>272718</v>
      </c>
    </row>
    <row r="108" spans="1:7" ht="10.5" customHeight="1" x14ac:dyDescent="0.2">
      <c r="A108" s="79" t="s">
        <v>4</v>
      </c>
      <c r="B108" s="15">
        <v>36</v>
      </c>
      <c r="C108" s="15">
        <v>16</v>
      </c>
      <c r="D108" s="15">
        <v>20</v>
      </c>
      <c r="E108" s="15">
        <v>36987</v>
      </c>
      <c r="F108" s="15">
        <v>18629</v>
      </c>
      <c r="G108" s="15">
        <v>18358</v>
      </c>
    </row>
    <row r="109" spans="1:7" ht="10.5" customHeight="1" x14ac:dyDescent="0.2">
      <c r="A109" s="79" t="s">
        <v>3</v>
      </c>
      <c r="B109" s="15">
        <v>399</v>
      </c>
      <c r="C109" s="15">
        <v>225</v>
      </c>
      <c r="D109" s="15">
        <v>174</v>
      </c>
      <c r="E109" s="15">
        <v>170372</v>
      </c>
      <c r="F109" s="15">
        <v>84198</v>
      </c>
      <c r="G109" s="15">
        <v>86174</v>
      </c>
    </row>
    <row r="110" spans="1:7" ht="10.5" customHeight="1" x14ac:dyDescent="0.2">
      <c r="A110" s="79" t="s">
        <v>2</v>
      </c>
      <c r="B110" s="15">
        <v>259</v>
      </c>
      <c r="C110" s="15">
        <v>139</v>
      </c>
      <c r="D110" s="15">
        <v>120</v>
      </c>
      <c r="E110" s="15">
        <v>142287</v>
      </c>
      <c r="F110" s="15">
        <v>68957</v>
      </c>
      <c r="G110" s="15">
        <v>73330</v>
      </c>
    </row>
    <row r="111" spans="1:7" ht="10.5" customHeight="1" x14ac:dyDescent="0.2">
      <c r="A111" s="79" t="s">
        <v>1</v>
      </c>
      <c r="B111" s="15">
        <v>100</v>
      </c>
      <c r="C111" s="15">
        <v>45</v>
      </c>
      <c r="D111" s="15">
        <v>55</v>
      </c>
      <c r="E111" s="15">
        <v>101543</v>
      </c>
      <c r="F111" s="15">
        <v>48340</v>
      </c>
      <c r="G111" s="15">
        <v>53203</v>
      </c>
    </row>
    <row r="112" spans="1:7" ht="10.5" customHeight="1" x14ac:dyDescent="0.2">
      <c r="A112" s="79" t="s">
        <v>0</v>
      </c>
      <c r="B112" s="15">
        <v>39</v>
      </c>
      <c r="C112" s="15">
        <v>22</v>
      </c>
      <c r="D112" s="15">
        <v>17</v>
      </c>
      <c r="E112" s="15">
        <v>79502</v>
      </c>
      <c r="F112" s="15">
        <v>37849</v>
      </c>
      <c r="G112" s="15">
        <v>41653</v>
      </c>
    </row>
    <row r="113" spans="1:7" ht="10.5" customHeight="1" x14ac:dyDescent="0.25">
      <c r="A113" s="79"/>
      <c r="B113" s="64"/>
      <c r="C113" s="64"/>
      <c r="D113" s="64"/>
      <c r="E113" s="64"/>
      <c r="F113" s="64"/>
      <c r="G113" s="64"/>
    </row>
    <row r="114" spans="1:7" ht="10.5" customHeight="1" x14ac:dyDescent="0.2">
      <c r="A114" s="78" t="s">
        <v>24</v>
      </c>
      <c r="B114" s="61">
        <v>35920</v>
      </c>
      <c r="C114" s="61">
        <v>17891</v>
      </c>
      <c r="D114" s="61">
        <v>18029</v>
      </c>
      <c r="E114" s="61">
        <v>582274</v>
      </c>
      <c r="F114" s="61">
        <v>282092</v>
      </c>
      <c r="G114" s="61">
        <v>300182</v>
      </c>
    </row>
    <row r="115" spans="1:7" ht="10.5" customHeight="1" x14ac:dyDescent="0.2">
      <c r="A115" s="79" t="s">
        <v>4</v>
      </c>
      <c r="B115" s="15">
        <v>4714</v>
      </c>
      <c r="C115" s="15">
        <v>2334</v>
      </c>
      <c r="D115" s="15">
        <v>2380</v>
      </c>
      <c r="E115" s="15">
        <v>46481</v>
      </c>
      <c r="F115" s="15">
        <v>23653</v>
      </c>
      <c r="G115" s="15">
        <v>22828</v>
      </c>
    </row>
    <row r="116" spans="1:7" ht="10.5" customHeight="1" x14ac:dyDescent="0.2">
      <c r="A116" s="79" t="s">
        <v>3</v>
      </c>
      <c r="B116" s="15">
        <v>14608</v>
      </c>
      <c r="C116" s="15">
        <v>7136</v>
      </c>
      <c r="D116" s="15">
        <v>7472</v>
      </c>
      <c r="E116" s="15">
        <v>198737</v>
      </c>
      <c r="F116" s="15">
        <v>97575</v>
      </c>
      <c r="G116" s="15">
        <v>101162</v>
      </c>
    </row>
    <row r="117" spans="1:7" ht="10.5" customHeight="1" x14ac:dyDescent="0.2">
      <c r="A117" s="79" t="s">
        <v>2</v>
      </c>
      <c r="B117" s="15">
        <v>9806</v>
      </c>
      <c r="C117" s="15">
        <v>4956</v>
      </c>
      <c r="D117" s="15">
        <v>4850</v>
      </c>
      <c r="E117" s="15">
        <v>149154</v>
      </c>
      <c r="F117" s="15">
        <v>70723</v>
      </c>
      <c r="G117" s="15">
        <v>78431</v>
      </c>
    </row>
    <row r="118" spans="1:7" ht="10.5" customHeight="1" x14ac:dyDescent="0.2">
      <c r="A118" s="79" t="s">
        <v>1</v>
      </c>
      <c r="B118" s="15">
        <v>5007</v>
      </c>
      <c r="C118" s="15">
        <v>2567</v>
      </c>
      <c r="D118" s="15">
        <v>2440</v>
      </c>
      <c r="E118" s="15">
        <v>105496</v>
      </c>
      <c r="F118" s="15">
        <v>50348</v>
      </c>
      <c r="G118" s="15">
        <v>55148</v>
      </c>
    </row>
    <row r="119" spans="1:7" ht="10.5" customHeight="1" x14ac:dyDescent="0.2">
      <c r="A119" s="79" t="s">
        <v>0</v>
      </c>
      <c r="B119" s="15">
        <v>1785</v>
      </c>
      <c r="C119" s="15">
        <v>898</v>
      </c>
      <c r="D119" s="15">
        <v>887</v>
      </c>
      <c r="E119" s="15">
        <v>82406</v>
      </c>
      <c r="F119" s="15">
        <v>39793</v>
      </c>
      <c r="G119" s="15">
        <v>42613</v>
      </c>
    </row>
    <row r="120" spans="1:7" ht="10.5" customHeight="1" x14ac:dyDescent="0.25">
      <c r="A120" s="80"/>
      <c r="B120" s="70"/>
      <c r="C120" s="70"/>
      <c r="D120" s="70"/>
      <c r="E120" s="71"/>
      <c r="F120" s="71"/>
      <c r="G120" s="71"/>
    </row>
    <row r="121" spans="1:7" ht="10.5" customHeight="1" x14ac:dyDescent="0.2">
      <c r="A121" s="78" t="s">
        <v>23</v>
      </c>
      <c r="B121" s="61">
        <v>806</v>
      </c>
      <c r="C121" s="61">
        <v>423</v>
      </c>
      <c r="D121" s="61">
        <v>383</v>
      </c>
      <c r="E121" s="61">
        <v>1233787</v>
      </c>
      <c r="F121" s="61">
        <v>588946</v>
      </c>
      <c r="G121" s="61">
        <v>644841</v>
      </c>
    </row>
    <row r="122" spans="1:7" ht="10.5" customHeight="1" x14ac:dyDescent="0.2">
      <c r="A122" s="79" t="s">
        <v>4</v>
      </c>
      <c r="B122" s="15">
        <v>19</v>
      </c>
      <c r="C122" s="15">
        <v>11</v>
      </c>
      <c r="D122" s="15">
        <v>8</v>
      </c>
      <c r="E122" s="15">
        <v>87456</v>
      </c>
      <c r="F122" s="15">
        <v>44130</v>
      </c>
      <c r="G122" s="15">
        <v>43326</v>
      </c>
    </row>
    <row r="123" spans="1:7" ht="10.5" customHeight="1" x14ac:dyDescent="0.2">
      <c r="A123" s="79" t="s">
        <v>3</v>
      </c>
      <c r="B123" s="15">
        <v>364</v>
      </c>
      <c r="C123" s="15">
        <v>182</v>
      </c>
      <c r="D123" s="15">
        <v>182</v>
      </c>
      <c r="E123" s="15">
        <v>394833</v>
      </c>
      <c r="F123" s="15">
        <v>191399</v>
      </c>
      <c r="G123" s="15">
        <v>203434</v>
      </c>
    </row>
    <row r="124" spans="1:7" ht="10.5" customHeight="1" x14ac:dyDescent="0.2">
      <c r="A124" s="79" t="s">
        <v>2</v>
      </c>
      <c r="B124" s="15">
        <v>263</v>
      </c>
      <c r="C124" s="15">
        <v>144</v>
      </c>
      <c r="D124" s="15">
        <v>119</v>
      </c>
      <c r="E124" s="15">
        <v>320970</v>
      </c>
      <c r="F124" s="15">
        <v>151874</v>
      </c>
      <c r="G124" s="15">
        <v>169096</v>
      </c>
    </row>
    <row r="125" spans="1:7" ht="10.5" customHeight="1" x14ac:dyDescent="0.2">
      <c r="A125" s="79" t="s">
        <v>1</v>
      </c>
      <c r="B125" s="15">
        <v>114</v>
      </c>
      <c r="C125" s="15">
        <v>61</v>
      </c>
      <c r="D125" s="15">
        <v>53</v>
      </c>
      <c r="E125" s="15">
        <v>235985</v>
      </c>
      <c r="F125" s="15">
        <v>111132</v>
      </c>
      <c r="G125" s="15">
        <v>124853</v>
      </c>
    </row>
    <row r="126" spans="1:7" ht="10.5" customHeight="1" x14ac:dyDescent="0.2">
      <c r="A126" s="79" t="s">
        <v>0</v>
      </c>
      <c r="B126" s="15">
        <v>46</v>
      </c>
      <c r="C126" s="15">
        <v>25</v>
      </c>
      <c r="D126" s="15">
        <v>21</v>
      </c>
      <c r="E126" s="15">
        <v>194543</v>
      </c>
      <c r="F126" s="15">
        <v>90411</v>
      </c>
      <c r="G126" s="15">
        <v>104132</v>
      </c>
    </row>
    <row r="127" spans="1:7" ht="4.5" customHeight="1" thickBot="1" x14ac:dyDescent="0.3">
      <c r="A127" s="83"/>
      <c r="B127" s="73"/>
      <c r="C127" s="74"/>
      <c r="D127" s="75"/>
      <c r="E127" s="76"/>
      <c r="F127" s="76"/>
      <c r="G127" s="76"/>
    </row>
    <row r="128" spans="1:7" ht="10.5" customHeight="1" x14ac:dyDescent="0.25">
      <c r="A128" s="48"/>
      <c r="B128" s="7"/>
      <c r="C128" s="7"/>
      <c r="D128" s="6"/>
      <c r="E128" s="28"/>
      <c r="F128" s="28"/>
      <c r="G128" s="7" t="s">
        <v>83</v>
      </c>
    </row>
    <row r="129" spans="1:7" ht="12.75" customHeight="1" x14ac:dyDescent="0.2">
      <c r="A129" s="205" t="str">
        <f>A$1</f>
        <v>CUADRO Nº 2.1</v>
      </c>
      <c r="B129" s="205"/>
      <c r="C129" s="205"/>
      <c r="D129" s="205"/>
      <c r="E129" s="205"/>
      <c r="F129" s="205"/>
      <c r="G129" s="205"/>
    </row>
    <row r="130" spans="1:7" ht="20.25" customHeight="1" x14ac:dyDescent="0.2">
      <c r="A130" s="206" t="str">
        <f>A$2</f>
        <v>PERÚ: POBLACIÓN CENSADA INDÍGENA U ORIGINARIA DE LA AMAZONÍA, BLANCA(O), MESTIZA(O) Y OTRA(O) DE 12 Y MÁS AÑOS DE EDAD, POR SEXO, SEGÚN GRUPO ESPECIAL DE EDAD, ÁREA DE RESIDENCIA Y DEPARTAMENTO, 2017</v>
      </c>
      <c r="B130" s="206"/>
      <c r="C130" s="206"/>
      <c r="D130" s="206"/>
      <c r="E130" s="206"/>
      <c r="F130" s="206"/>
      <c r="G130" s="206"/>
    </row>
    <row r="131" spans="1:7" ht="12.75" customHeight="1" x14ac:dyDescent="0.2">
      <c r="A131" s="207" t="str">
        <f>A$3</f>
        <v>(Cifras absolutas)</v>
      </c>
      <c r="B131" s="207"/>
      <c r="C131" s="207"/>
      <c r="D131" s="207"/>
      <c r="E131" s="207"/>
      <c r="F131" s="207"/>
      <c r="G131" s="207"/>
    </row>
    <row r="132" spans="1:7" ht="10.5" customHeight="1" thickBot="1" x14ac:dyDescent="0.25">
      <c r="A132" s="46"/>
      <c r="B132" s="46"/>
      <c r="C132" s="46"/>
      <c r="D132" s="46"/>
      <c r="E132" s="46"/>
      <c r="F132" s="46"/>
      <c r="G132" s="46"/>
    </row>
    <row r="133" spans="1:7" ht="12.75" customHeight="1" thickBot="1" x14ac:dyDescent="0.25">
      <c r="A133" s="208" t="str">
        <f>A$5</f>
        <v>Grupo especial de edad / Área de residencia y departamento</v>
      </c>
      <c r="B133" s="210" t="str">
        <f>B$5</f>
        <v>Indígena u originaria de la Amazonía</v>
      </c>
      <c r="C133" s="211"/>
      <c r="D133" s="212"/>
      <c r="E133" s="210" t="s">
        <v>116</v>
      </c>
      <c r="F133" s="211"/>
      <c r="G133" s="212"/>
    </row>
    <row r="134" spans="1:7" ht="12.75" customHeight="1" thickBot="1" x14ac:dyDescent="0.25">
      <c r="A134" s="209"/>
      <c r="B134" s="53" t="str">
        <f t="shared" ref="B134:G134" si="1">B$6</f>
        <v>Total</v>
      </c>
      <c r="C134" s="54" t="str">
        <f t="shared" si="1"/>
        <v>Hombre</v>
      </c>
      <c r="D134" s="55" t="str">
        <f t="shared" si="1"/>
        <v>Mujer</v>
      </c>
      <c r="E134" s="54" t="str">
        <f t="shared" si="1"/>
        <v>Total</v>
      </c>
      <c r="F134" s="54" t="str">
        <f t="shared" si="1"/>
        <v>Hombre</v>
      </c>
      <c r="G134" s="55" t="str">
        <f t="shared" si="1"/>
        <v>Mujer</v>
      </c>
    </row>
    <row r="135" spans="1:7" ht="3.75" customHeight="1" x14ac:dyDescent="0.25">
      <c r="A135" s="84"/>
      <c r="B135" s="58"/>
      <c r="C135" s="85"/>
      <c r="D135" s="85"/>
      <c r="E135" s="86"/>
      <c r="F135" s="86"/>
      <c r="G135" s="87"/>
    </row>
    <row r="136" spans="1:7" ht="10.5" customHeight="1" x14ac:dyDescent="0.2">
      <c r="A136" s="59" t="s">
        <v>22</v>
      </c>
      <c r="B136" s="60">
        <v>700</v>
      </c>
      <c r="C136" s="61">
        <v>313</v>
      </c>
      <c r="D136" s="61">
        <v>387</v>
      </c>
      <c r="E136" s="61">
        <v>815454</v>
      </c>
      <c r="F136" s="61">
        <v>384763</v>
      </c>
      <c r="G136" s="61">
        <v>430691</v>
      </c>
    </row>
    <row r="137" spans="1:7" ht="10.5" customHeight="1" x14ac:dyDescent="0.2">
      <c r="A137" s="13" t="s">
        <v>4</v>
      </c>
      <c r="B137" s="62">
        <v>37</v>
      </c>
      <c r="C137" s="15">
        <v>18</v>
      </c>
      <c r="D137" s="15">
        <v>19</v>
      </c>
      <c r="E137" s="15">
        <v>55534</v>
      </c>
      <c r="F137" s="15">
        <v>28003</v>
      </c>
      <c r="G137" s="15">
        <v>27531</v>
      </c>
    </row>
    <row r="138" spans="1:7" ht="10.5" customHeight="1" x14ac:dyDescent="0.2">
      <c r="A138" s="13" t="s">
        <v>3</v>
      </c>
      <c r="B138" s="62">
        <v>372</v>
      </c>
      <c r="C138" s="15">
        <v>160</v>
      </c>
      <c r="D138" s="15">
        <v>212</v>
      </c>
      <c r="E138" s="15">
        <v>256501</v>
      </c>
      <c r="F138" s="15">
        <v>123793</v>
      </c>
      <c r="G138" s="15">
        <v>132708</v>
      </c>
    </row>
    <row r="139" spans="1:7" ht="10.5" customHeight="1" x14ac:dyDescent="0.2">
      <c r="A139" s="13" t="s">
        <v>2</v>
      </c>
      <c r="B139" s="62">
        <v>176</v>
      </c>
      <c r="C139" s="15">
        <v>85</v>
      </c>
      <c r="D139" s="15">
        <v>91</v>
      </c>
      <c r="E139" s="15">
        <v>207566</v>
      </c>
      <c r="F139" s="15">
        <v>95814</v>
      </c>
      <c r="G139" s="15">
        <v>111752</v>
      </c>
    </row>
    <row r="140" spans="1:7" ht="10.5" customHeight="1" x14ac:dyDescent="0.2">
      <c r="A140" s="13" t="s">
        <v>1</v>
      </c>
      <c r="B140" s="62">
        <v>81</v>
      </c>
      <c r="C140" s="15">
        <v>34</v>
      </c>
      <c r="D140" s="15">
        <v>47</v>
      </c>
      <c r="E140" s="15">
        <v>162671</v>
      </c>
      <c r="F140" s="15">
        <v>74405</v>
      </c>
      <c r="G140" s="15">
        <v>88266</v>
      </c>
    </row>
    <row r="141" spans="1:7" ht="10.5" customHeight="1" x14ac:dyDescent="0.2">
      <c r="A141" s="13" t="s">
        <v>0</v>
      </c>
      <c r="B141" s="62">
        <v>34</v>
      </c>
      <c r="C141" s="15">
        <v>16</v>
      </c>
      <c r="D141" s="15">
        <v>18</v>
      </c>
      <c r="E141" s="15">
        <v>133182</v>
      </c>
      <c r="F141" s="15">
        <v>62748</v>
      </c>
      <c r="G141" s="15">
        <v>70434</v>
      </c>
    </row>
    <row r="142" spans="1:7" ht="10.5" customHeight="1" x14ac:dyDescent="0.25">
      <c r="A142" s="50"/>
      <c r="B142" s="63"/>
      <c r="C142" s="88"/>
      <c r="D142" s="88"/>
      <c r="E142" s="88"/>
      <c r="F142" s="88"/>
      <c r="G142" s="88"/>
    </row>
    <row r="143" spans="1:7" ht="10.5" customHeight="1" x14ac:dyDescent="0.2">
      <c r="A143" s="59" t="s">
        <v>21</v>
      </c>
      <c r="B143" s="60">
        <v>15505</v>
      </c>
      <c r="C143" s="61">
        <v>7333</v>
      </c>
      <c r="D143" s="61">
        <v>8172</v>
      </c>
      <c r="E143" s="61">
        <v>6215088</v>
      </c>
      <c r="F143" s="61">
        <v>2986258</v>
      </c>
      <c r="G143" s="61">
        <v>3228830</v>
      </c>
    </row>
    <row r="144" spans="1:7" ht="10.5" customHeight="1" x14ac:dyDescent="0.2">
      <c r="A144" s="13" t="s">
        <v>4</v>
      </c>
      <c r="B144" s="62">
        <v>513</v>
      </c>
      <c r="C144" s="15">
        <v>242</v>
      </c>
      <c r="D144" s="15">
        <v>271</v>
      </c>
      <c r="E144" s="15">
        <v>370964</v>
      </c>
      <c r="F144" s="15">
        <v>187593</v>
      </c>
      <c r="G144" s="15">
        <v>183371</v>
      </c>
    </row>
    <row r="145" spans="1:7" ht="10.5" customHeight="1" x14ac:dyDescent="0.2">
      <c r="A145" s="13" t="s">
        <v>3</v>
      </c>
      <c r="B145" s="62">
        <v>6365</v>
      </c>
      <c r="C145" s="15">
        <v>3149</v>
      </c>
      <c r="D145" s="15">
        <v>3216</v>
      </c>
      <c r="E145" s="15">
        <v>1964229</v>
      </c>
      <c r="F145" s="15">
        <v>968463</v>
      </c>
      <c r="G145" s="15">
        <v>995766</v>
      </c>
    </row>
    <row r="146" spans="1:7" ht="10.5" customHeight="1" x14ac:dyDescent="0.2">
      <c r="A146" s="13" t="s">
        <v>2</v>
      </c>
      <c r="B146" s="62">
        <v>5041</v>
      </c>
      <c r="C146" s="15">
        <v>2407</v>
      </c>
      <c r="D146" s="15">
        <v>2634</v>
      </c>
      <c r="E146" s="15">
        <v>1700063</v>
      </c>
      <c r="F146" s="15">
        <v>814082</v>
      </c>
      <c r="G146" s="15">
        <v>885981</v>
      </c>
    </row>
    <row r="147" spans="1:7" ht="10.5" customHeight="1" x14ac:dyDescent="0.2">
      <c r="A147" s="13" t="s">
        <v>1</v>
      </c>
      <c r="B147" s="62">
        <v>2310</v>
      </c>
      <c r="C147" s="15">
        <v>980</v>
      </c>
      <c r="D147" s="15">
        <v>1330</v>
      </c>
      <c r="E147" s="15">
        <v>1215293</v>
      </c>
      <c r="F147" s="15">
        <v>570830</v>
      </c>
      <c r="G147" s="15">
        <v>644463</v>
      </c>
    </row>
    <row r="148" spans="1:7" ht="10.5" customHeight="1" x14ac:dyDescent="0.2">
      <c r="A148" s="13" t="s">
        <v>0</v>
      </c>
      <c r="B148" s="62">
        <v>1276</v>
      </c>
      <c r="C148" s="15">
        <v>555</v>
      </c>
      <c r="D148" s="15">
        <v>721</v>
      </c>
      <c r="E148" s="15">
        <v>964539</v>
      </c>
      <c r="F148" s="15">
        <v>445290</v>
      </c>
      <c r="G148" s="15">
        <v>519249</v>
      </c>
    </row>
    <row r="149" spans="1:7" ht="10.5" customHeight="1" x14ac:dyDescent="0.25">
      <c r="A149" s="50"/>
      <c r="B149" s="63"/>
      <c r="C149" s="88"/>
      <c r="D149" s="88"/>
      <c r="E149" s="88"/>
      <c r="F149" s="88"/>
      <c r="G149" s="88"/>
    </row>
    <row r="150" spans="1:7" ht="10.5" customHeight="1" x14ac:dyDescent="0.2">
      <c r="A150" s="59" t="s">
        <v>20</v>
      </c>
      <c r="B150" s="60">
        <v>51722</v>
      </c>
      <c r="C150" s="61">
        <v>26000</v>
      </c>
      <c r="D150" s="61">
        <v>25722</v>
      </c>
      <c r="E150" s="61">
        <v>535664</v>
      </c>
      <c r="F150" s="61">
        <v>266807</v>
      </c>
      <c r="G150" s="61">
        <v>268857</v>
      </c>
    </row>
    <row r="151" spans="1:7" ht="10.5" customHeight="1" x14ac:dyDescent="0.2">
      <c r="A151" s="13" t="s">
        <v>4</v>
      </c>
      <c r="B151" s="62">
        <v>6638</v>
      </c>
      <c r="C151" s="15">
        <v>3359</v>
      </c>
      <c r="D151" s="15">
        <v>3279</v>
      </c>
      <c r="E151" s="15">
        <v>53198</v>
      </c>
      <c r="F151" s="15">
        <v>27041</v>
      </c>
      <c r="G151" s="15">
        <v>26157</v>
      </c>
    </row>
    <row r="152" spans="1:7" ht="10.5" customHeight="1" x14ac:dyDescent="0.2">
      <c r="A152" s="13" t="s">
        <v>3</v>
      </c>
      <c r="B152" s="62">
        <v>19238</v>
      </c>
      <c r="C152" s="15">
        <v>9133</v>
      </c>
      <c r="D152" s="15">
        <v>10105</v>
      </c>
      <c r="E152" s="15">
        <v>172648</v>
      </c>
      <c r="F152" s="15">
        <v>83235</v>
      </c>
      <c r="G152" s="15">
        <v>89413</v>
      </c>
    </row>
    <row r="153" spans="1:7" ht="10.5" customHeight="1" x14ac:dyDescent="0.2">
      <c r="A153" s="13" t="s">
        <v>2</v>
      </c>
      <c r="B153" s="62">
        <v>13791</v>
      </c>
      <c r="C153" s="15">
        <v>6954</v>
      </c>
      <c r="D153" s="15">
        <v>6837</v>
      </c>
      <c r="E153" s="15">
        <v>142793</v>
      </c>
      <c r="F153" s="15">
        <v>69941</v>
      </c>
      <c r="G153" s="15">
        <v>72852</v>
      </c>
    </row>
    <row r="154" spans="1:7" ht="10.5" customHeight="1" x14ac:dyDescent="0.2">
      <c r="A154" s="13" t="s">
        <v>1</v>
      </c>
      <c r="B154" s="62">
        <v>7908</v>
      </c>
      <c r="C154" s="15">
        <v>4270</v>
      </c>
      <c r="D154" s="15">
        <v>3638</v>
      </c>
      <c r="E154" s="15">
        <v>97935</v>
      </c>
      <c r="F154" s="15">
        <v>50677</v>
      </c>
      <c r="G154" s="15">
        <v>47258</v>
      </c>
    </row>
    <row r="155" spans="1:7" ht="10.5" customHeight="1" x14ac:dyDescent="0.2">
      <c r="A155" s="13" t="s">
        <v>0</v>
      </c>
      <c r="B155" s="62">
        <v>4147</v>
      </c>
      <c r="C155" s="15">
        <v>2284</v>
      </c>
      <c r="D155" s="15">
        <v>1863</v>
      </c>
      <c r="E155" s="15">
        <v>69090</v>
      </c>
      <c r="F155" s="15">
        <v>35913</v>
      </c>
      <c r="G155" s="15">
        <v>33177</v>
      </c>
    </row>
    <row r="156" spans="1:7" ht="10.5" customHeight="1" x14ac:dyDescent="0.25">
      <c r="A156" s="50"/>
      <c r="B156" s="63"/>
      <c r="C156" s="88"/>
      <c r="D156" s="88"/>
      <c r="E156" s="88"/>
      <c r="F156" s="88"/>
      <c r="G156" s="88"/>
    </row>
    <row r="157" spans="1:7" ht="10.5" customHeight="1" x14ac:dyDescent="0.2">
      <c r="A157" s="89" t="s">
        <v>19</v>
      </c>
      <c r="B157" s="60">
        <v>3494</v>
      </c>
      <c r="C157" s="61">
        <v>1769</v>
      </c>
      <c r="D157" s="61">
        <v>1725</v>
      </c>
      <c r="E157" s="61">
        <v>60471</v>
      </c>
      <c r="F157" s="61">
        <v>31682</v>
      </c>
      <c r="G157" s="61">
        <v>28789</v>
      </c>
    </row>
    <row r="158" spans="1:7" ht="10.5" customHeight="1" x14ac:dyDescent="0.2">
      <c r="A158" s="13" t="s">
        <v>4</v>
      </c>
      <c r="B158" s="62">
        <v>349</v>
      </c>
      <c r="C158" s="15">
        <v>169</v>
      </c>
      <c r="D158" s="15">
        <v>180</v>
      </c>
      <c r="E158" s="15">
        <v>5570</v>
      </c>
      <c r="F158" s="15">
        <v>2832</v>
      </c>
      <c r="G158" s="15">
        <v>2738</v>
      </c>
    </row>
    <row r="159" spans="1:7" ht="10.5" customHeight="1" x14ac:dyDescent="0.2">
      <c r="A159" s="13" t="s">
        <v>3</v>
      </c>
      <c r="B159" s="62">
        <v>1296</v>
      </c>
      <c r="C159" s="15">
        <v>642</v>
      </c>
      <c r="D159" s="15">
        <v>654</v>
      </c>
      <c r="E159" s="15">
        <v>22485</v>
      </c>
      <c r="F159" s="15">
        <v>11218</v>
      </c>
      <c r="G159" s="15">
        <v>11267</v>
      </c>
    </row>
    <row r="160" spans="1:7" ht="10.5" customHeight="1" x14ac:dyDescent="0.2">
      <c r="A160" s="13" t="s">
        <v>2</v>
      </c>
      <c r="B160" s="62">
        <v>975</v>
      </c>
      <c r="C160" s="15">
        <v>465</v>
      </c>
      <c r="D160" s="15">
        <v>510</v>
      </c>
      <c r="E160" s="15">
        <v>17479</v>
      </c>
      <c r="F160" s="15">
        <v>9020</v>
      </c>
      <c r="G160" s="15">
        <v>8459</v>
      </c>
    </row>
    <row r="161" spans="1:7" ht="10.5" customHeight="1" x14ac:dyDescent="0.2">
      <c r="A161" s="13" t="s">
        <v>1</v>
      </c>
      <c r="B161" s="62">
        <v>575</v>
      </c>
      <c r="C161" s="15">
        <v>296</v>
      </c>
      <c r="D161" s="15">
        <v>279</v>
      </c>
      <c r="E161" s="15">
        <v>10255</v>
      </c>
      <c r="F161" s="15">
        <v>5796</v>
      </c>
      <c r="G161" s="15">
        <v>4459</v>
      </c>
    </row>
    <row r="162" spans="1:7" ht="10.5" customHeight="1" x14ac:dyDescent="0.2">
      <c r="A162" s="13" t="s">
        <v>0</v>
      </c>
      <c r="B162" s="62">
        <v>299</v>
      </c>
      <c r="C162" s="15">
        <v>197</v>
      </c>
      <c r="D162" s="15">
        <v>102</v>
      </c>
      <c r="E162" s="15">
        <v>4682</v>
      </c>
      <c r="F162" s="15">
        <v>2816</v>
      </c>
      <c r="G162" s="15">
        <v>1866</v>
      </c>
    </row>
    <row r="163" spans="1:7" ht="10.5" customHeight="1" x14ac:dyDescent="0.25">
      <c r="A163" s="50"/>
      <c r="B163" s="90"/>
      <c r="C163" s="91"/>
      <c r="D163" s="91"/>
      <c r="E163" s="92"/>
      <c r="F163" s="92"/>
      <c r="G163" s="92"/>
    </row>
    <row r="164" spans="1:7" ht="10.5" customHeight="1" x14ac:dyDescent="0.2">
      <c r="A164" s="59" t="s">
        <v>12</v>
      </c>
      <c r="B164" s="60">
        <v>128</v>
      </c>
      <c r="C164" s="61">
        <v>62</v>
      </c>
      <c r="D164" s="61">
        <v>66</v>
      </c>
      <c r="E164" s="61">
        <v>86216</v>
      </c>
      <c r="F164" s="61">
        <v>43212</v>
      </c>
      <c r="G164" s="61">
        <v>43004</v>
      </c>
    </row>
    <row r="165" spans="1:7" ht="10.5" customHeight="1" x14ac:dyDescent="0.2">
      <c r="A165" s="13" t="s">
        <v>4</v>
      </c>
      <c r="B165" s="62">
        <v>7</v>
      </c>
      <c r="C165" s="15">
        <v>5</v>
      </c>
      <c r="D165" s="15">
        <v>2</v>
      </c>
      <c r="E165" s="15">
        <v>6000</v>
      </c>
      <c r="F165" s="15">
        <v>3044</v>
      </c>
      <c r="G165" s="15">
        <v>2956</v>
      </c>
    </row>
    <row r="166" spans="1:7" ht="10.5" customHeight="1" x14ac:dyDescent="0.2">
      <c r="A166" s="13" t="s">
        <v>3</v>
      </c>
      <c r="B166" s="62">
        <v>35</v>
      </c>
      <c r="C166" s="15">
        <v>14</v>
      </c>
      <c r="D166" s="15">
        <v>21</v>
      </c>
      <c r="E166" s="15">
        <v>25918</v>
      </c>
      <c r="F166" s="15">
        <v>13060</v>
      </c>
      <c r="G166" s="15">
        <v>12858</v>
      </c>
    </row>
    <row r="167" spans="1:7" ht="10.5" customHeight="1" x14ac:dyDescent="0.2">
      <c r="A167" s="13" t="s">
        <v>2</v>
      </c>
      <c r="B167" s="62">
        <v>54</v>
      </c>
      <c r="C167" s="15">
        <v>26</v>
      </c>
      <c r="D167" s="15">
        <v>28</v>
      </c>
      <c r="E167" s="15">
        <v>23394</v>
      </c>
      <c r="F167" s="15">
        <v>11355</v>
      </c>
      <c r="G167" s="15">
        <v>12039</v>
      </c>
    </row>
    <row r="168" spans="1:7" ht="10.5" customHeight="1" x14ac:dyDescent="0.2">
      <c r="A168" s="13" t="s">
        <v>1</v>
      </c>
      <c r="B168" s="62">
        <v>24</v>
      </c>
      <c r="C168" s="15">
        <v>13</v>
      </c>
      <c r="D168" s="15">
        <v>11</v>
      </c>
      <c r="E168" s="15">
        <v>17539</v>
      </c>
      <c r="F168" s="15">
        <v>8721</v>
      </c>
      <c r="G168" s="15">
        <v>8818</v>
      </c>
    </row>
    <row r="169" spans="1:7" ht="10.5" customHeight="1" x14ac:dyDescent="0.2">
      <c r="A169" s="13" t="s">
        <v>0</v>
      </c>
      <c r="B169" s="62">
        <v>8</v>
      </c>
      <c r="C169" s="15">
        <v>4</v>
      </c>
      <c r="D169" s="15">
        <v>4</v>
      </c>
      <c r="E169" s="15">
        <v>13365</v>
      </c>
      <c r="F169" s="15">
        <v>7032</v>
      </c>
      <c r="G169" s="15">
        <v>6333</v>
      </c>
    </row>
    <row r="170" spans="1:7" ht="10.5" customHeight="1" x14ac:dyDescent="0.25">
      <c r="A170" s="13"/>
      <c r="B170" s="63"/>
      <c r="C170" s="88"/>
      <c r="D170" s="88"/>
      <c r="E170" s="88"/>
      <c r="F170" s="88"/>
      <c r="G170" s="88"/>
    </row>
    <row r="171" spans="1:7" ht="10.5" customHeight="1" x14ac:dyDescent="0.2">
      <c r="A171" s="59" t="s">
        <v>11</v>
      </c>
      <c r="B171" s="60">
        <v>12284</v>
      </c>
      <c r="C171" s="61">
        <v>6110</v>
      </c>
      <c r="D171" s="61">
        <v>6174</v>
      </c>
      <c r="E171" s="61">
        <v>107909</v>
      </c>
      <c r="F171" s="61">
        <v>55064</v>
      </c>
      <c r="G171" s="61">
        <v>52845</v>
      </c>
    </row>
    <row r="172" spans="1:7" ht="10.5" customHeight="1" x14ac:dyDescent="0.2">
      <c r="A172" s="13" t="s">
        <v>4</v>
      </c>
      <c r="B172" s="62">
        <v>1476</v>
      </c>
      <c r="C172" s="15">
        <v>762</v>
      </c>
      <c r="D172" s="15">
        <v>714</v>
      </c>
      <c r="E172" s="15">
        <v>8588</v>
      </c>
      <c r="F172" s="15">
        <v>4319</v>
      </c>
      <c r="G172" s="15">
        <v>4269</v>
      </c>
    </row>
    <row r="173" spans="1:7" ht="10.5" customHeight="1" x14ac:dyDescent="0.2">
      <c r="A173" s="13" t="s">
        <v>3</v>
      </c>
      <c r="B173" s="62">
        <v>4207</v>
      </c>
      <c r="C173" s="15">
        <v>1986</v>
      </c>
      <c r="D173" s="15">
        <v>2221</v>
      </c>
      <c r="E173" s="15">
        <v>37274</v>
      </c>
      <c r="F173" s="15">
        <v>18894</v>
      </c>
      <c r="G173" s="15">
        <v>18380</v>
      </c>
    </row>
    <row r="174" spans="1:7" ht="10.5" customHeight="1" x14ac:dyDescent="0.2">
      <c r="A174" s="13" t="s">
        <v>2</v>
      </c>
      <c r="B174" s="62">
        <v>3512</v>
      </c>
      <c r="C174" s="15">
        <v>1785</v>
      </c>
      <c r="D174" s="15">
        <v>1727</v>
      </c>
      <c r="E174" s="15">
        <v>30367</v>
      </c>
      <c r="F174" s="15">
        <v>15693</v>
      </c>
      <c r="G174" s="15">
        <v>14674</v>
      </c>
    </row>
    <row r="175" spans="1:7" ht="10.5" customHeight="1" x14ac:dyDescent="0.2">
      <c r="A175" s="13" t="s">
        <v>1</v>
      </c>
      <c r="B175" s="62">
        <v>2067</v>
      </c>
      <c r="C175" s="15">
        <v>1059</v>
      </c>
      <c r="D175" s="15">
        <v>1008</v>
      </c>
      <c r="E175" s="15">
        <v>19581</v>
      </c>
      <c r="F175" s="15">
        <v>10043</v>
      </c>
      <c r="G175" s="15">
        <v>9538</v>
      </c>
    </row>
    <row r="176" spans="1:7" ht="10.5" customHeight="1" x14ac:dyDescent="0.2">
      <c r="A176" s="13" t="s">
        <v>0</v>
      </c>
      <c r="B176" s="62">
        <v>1022</v>
      </c>
      <c r="C176" s="15">
        <v>518</v>
      </c>
      <c r="D176" s="15">
        <v>504</v>
      </c>
      <c r="E176" s="15">
        <v>12099</v>
      </c>
      <c r="F176" s="15">
        <v>6115</v>
      </c>
      <c r="G176" s="15">
        <v>5984</v>
      </c>
    </row>
    <row r="177" spans="1:7" ht="10.5" customHeight="1" x14ac:dyDescent="0.25">
      <c r="A177" s="50"/>
      <c r="B177" s="63"/>
      <c r="C177" s="88"/>
      <c r="D177" s="88"/>
      <c r="E177" s="88"/>
      <c r="F177" s="88"/>
      <c r="G177" s="88"/>
    </row>
    <row r="178" spans="1:7" ht="10.5" customHeight="1" x14ac:dyDescent="0.2">
      <c r="A178" s="59" t="s">
        <v>10</v>
      </c>
      <c r="B178" s="60">
        <v>428</v>
      </c>
      <c r="C178" s="61">
        <v>222</v>
      </c>
      <c r="D178" s="61">
        <v>206</v>
      </c>
      <c r="E178" s="61">
        <v>1252467</v>
      </c>
      <c r="F178" s="61">
        <v>607101</v>
      </c>
      <c r="G178" s="61">
        <v>645366</v>
      </c>
    </row>
    <row r="179" spans="1:7" ht="10.5" customHeight="1" x14ac:dyDescent="0.2">
      <c r="A179" s="13" t="s">
        <v>4</v>
      </c>
      <c r="B179" s="62">
        <v>22</v>
      </c>
      <c r="C179" s="15">
        <v>10</v>
      </c>
      <c r="D179" s="15">
        <v>12</v>
      </c>
      <c r="E179" s="15">
        <v>98404</v>
      </c>
      <c r="F179" s="15">
        <v>49816</v>
      </c>
      <c r="G179" s="15">
        <v>48588</v>
      </c>
    </row>
    <row r="180" spans="1:7" ht="10.5" customHeight="1" x14ac:dyDescent="0.2">
      <c r="A180" s="13" t="s">
        <v>3</v>
      </c>
      <c r="B180" s="62">
        <v>173</v>
      </c>
      <c r="C180" s="15">
        <v>93</v>
      </c>
      <c r="D180" s="15">
        <v>80</v>
      </c>
      <c r="E180" s="15">
        <v>394937</v>
      </c>
      <c r="F180" s="15">
        <v>192278</v>
      </c>
      <c r="G180" s="15">
        <v>202659</v>
      </c>
    </row>
    <row r="181" spans="1:7" ht="10.5" customHeight="1" x14ac:dyDescent="0.2">
      <c r="A181" s="13" t="s">
        <v>2</v>
      </c>
      <c r="B181" s="62">
        <v>140</v>
      </c>
      <c r="C181" s="15">
        <v>68</v>
      </c>
      <c r="D181" s="15">
        <v>72</v>
      </c>
      <c r="E181" s="15">
        <v>330022</v>
      </c>
      <c r="F181" s="15">
        <v>157671</v>
      </c>
      <c r="G181" s="15">
        <v>172351</v>
      </c>
    </row>
    <row r="182" spans="1:7" ht="10.5" customHeight="1" x14ac:dyDescent="0.2">
      <c r="A182" s="13" t="s">
        <v>1</v>
      </c>
      <c r="B182" s="62">
        <v>61</v>
      </c>
      <c r="C182" s="15">
        <v>35</v>
      </c>
      <c r="D182" s="15">
        <v>26</v>
      </c>
      <c r="E182" s="15">
        <v>243237</v>
      </c>
      <c r="F182" s="15">
        <v>117274</v>
      </c>
      <c r="G182" s="15">
        <v>125963</v>
      </c>
    </row>
    <row r="183" spans="1:7" ht="10.5" customHeight="1" x14ac:dyDescent="0.2">
      <c r="A183" s="13" t="s">
        <v>0</v>
      </c>
      <c r="B183" s="62">
        <v>32</v>
      </c>
      <c r="C183" s="15">
        <v>16</v>
      </c>
      <c r="D183" s="15">
        <v>16</v>
      </c>
      <c r="E183" s="15">
        <v>185867</v>
      </c>
      <c r="F183" s="15">
        <v>90062</v>
      </c>
      <c r="G183" s="15">
        <v>95805</v>
      </c>
    </row>
    <row r="184" spans="1:7" ht="10.5" customHeight="1" x14ac:dyDescent="0.25">
      <c r="A184" s="68"/>
      <c r="B184" s="69"/>
      <c r="C184" s="93"/>
      <c r="D184" s="93"/>
      <c r="E184" s="92"/>
      <c r="F184" s="92"/>
      <c r="G184" s="92"/>
    </row>
    <row r="185" spans="1:7" ht="10.5" customHeight="1" x14ac:dyDescent="0.2">
      <c r="A185" s="59" t="s">
        <v>9</v>
      </c>
      <c r="B185" s="60">
        <v>157</v>
      </c>
      <c r="C185" s="61">
        <v>95</v>
      </c>
      <c r="D185" s="61">
        <v>62</v>
      </c>
      <c r="E185" s="61">
        <v>86222</v>
      </c>
      <c r="F185" s="61">
        <v>45192</v>
      </c>
      <c r="G185" s="61">
        <v>41030</v>
      </c>
    </row>
    <row r="186" spans="1:7" ht="10.5" customHeight="1" x14ac:dyDescent="0.2">
      <c r="A186" s="13" t="s">
        <v>4</v>
      </c>
      <c r="B186" s="62">
        <v>5</v>
      </c>
      <c r="C186" s="15">
        <v>2</v>
      </c>
      <c r="D186" s="15">
        <v>3</v>
      </c>
      <c r="E186" s="15">
        <v>8333</v>
      </c>
      <c r="F186" s="15">
        <v>4383</v>
      </c>
      <c r="G186" s="15">
        <v>3950</v>
      </c>
    </row>
    <row r="187" spans="1:7" ht="10.5" customHeight="1" x14ac:dyDescent="0.2">
      <c r="A187" s="13" t="s">
        <v>3</v>
      </c>
      <c r="B187" s="62">
        <v>68</v>
      </c>
      <c r="C187" s="15">
        <v>38</v>
      </c>
      <c r="D187" s="15">
        <v>30</v>
      </c>
      <c r="E187" s="15">
        <v>37056</v>
      </c>
      <c r="F187" s="15">
        <v>19045</v>
      </c>
      <c r="G187" s="15">
        <v>18011</v>
      </c>
    </row>
    <row r="188" spans="1:7" ht="10.5" customHeight="1" x14ac:dyDescent="0.2">
      <c r="A188" s="13" t="s">
        <v>2</v>
      </c>
      <c r="B188" s="62">
        <v>59</v>
      </c>
      <c r="C188" s="15">
        <v>38</v>
      </c>
      <c r="D188" s="15">
        <v>21</v>
      </c>
      <c r="E188" s="15">
        <v>20341</v>
      </c>
      <c r="F188" s="15">
        <v>10906</v>
      </c>
      <c r="G188" s="15">
        <v>9435</v>
      </c>
    </row>
    <row r="189" spans="1:7" ht="10.5" customHeight="1" x14ac:dyDescent="0.2">
      <c r="A189" s="13" t="s">
        <v>1</v>
      </c>
      <c r="B189" s="62">
        <v>15</v>
      </c>
      <c r="C189" s="15">
        <v>11</v>
      </c>
      <c r="D189" s="15">
        <v>4</v>
      </c>
      <c r="E189" s="15">
        <v>12385</v>
      </c>
      <c r="F189" s="15">
        <v>6663</v>
      </c>
      <c r="G189" s="15">
        <v>5722</v>
      </c>
    </row>
    <row r="190" spans="1:7" ht="10.5" customHeight="1" x14ac:dyDescent="0.2">
      <c r="A190" s="13" t="s">
        <v>0</v>
      </c>
      <c r="B190" s="62">
        <v>10</v>
      </c>
      <c r="C190" s="15">
        <v>6</v>
      </c>
      <c r="D190" s="15">
        <v>4</v>
      </c>
      <c r="E190" s="15">
        <v>8107</v>
      </c>
      <c r="F190" s="15">
        <v>4195</v>
      </c>
      <c r="G190" s="15">
        <v>3912</v>
      </c>
    </row>
    <row r="191" spans="1:7" ht="4.5" customHeight="1" thickBot="1" x14ac:dyDescent="0.3">
      <c r="A191" s="72"/>
      <c r="B191" s="73"/>
      <c r="C191" s="74"/>
      <c r="D191" s="75"/>
      <c r="E191" s="76"/>
      <c r="F191" s="76"/>
      <c r="G191" s="76"/>
    </row>
    <row r="192" spans="1:7" ht="10.5" customHeight="1" x14ac:dyDescent="0.25">
      <c r="A192" s="48"/>
      <c r="B192" s="7"/>
      <c r="C192" s="7"/>
      <c r="D192" s="6"/>
      <c r="E192" s="28"/>
      <c r="F192" s="28"/>
      <c r="G192" s="7" t="s">
        <v>83</v>
      </c>
    </row>
    <row r="193" spans="1:7" ht="12.75" customHeight="1" x14ac:dyDescent="0.2">
      <c r="A193" s="205" t="str">
        <f>A$1</f>
        <v>CUADRO Nº 2.1</v>
      </c>
      <c r="B193" s="205"/>
      <c r="C193" s="205"/>
      <c r="D193" s="205"/>
      <c r="E193" s="205"/>
      <c r="F193" s="205"/>
      <c r="G193" s="205"/>
    </row>
    <row r="194" spans="1:7" ht="20.25" customHeight="1" x14ac:dyDescent="0.2">
      <c r="A194" s="206" t="str">
        <f>A$2</f>
        <v>PERÚ: POBLACIÓN CENSADA INDÍGENA U ORIGINARIA DE LA AMAZONÍA, BLANCA(O), MESTIZA(O) Y OTRA(O) DE 12 Y MÁS AÑOS DE EDAD, POR SEXO, SEGÚN GRUPO ESPECIAL DE EDAD, ÁREA DE RESIDENCIA Y DEPARTAMENTO, 2017</v>
      </c>
      <c r="B194" s="206"/>
      <c r="C194" s="206"/>
      <c r="D194" s="206"/>
      <c r="E194" s="206"/>
      <c r="F194" s="206"/>
      <c r="G194" s="206"/>
    </row>
    <row r="195" spans="1:7" ht="12.75" customHeight="1" x14ac:dyDescent="0.2">
      <c r="A195" s="207" t="str">
        <f>A$3</f>
        <v>(Cifras absolutas)</v>
      </c>
      <c r="B195" s="207"/>
      <c r="C195" s="207"/>
      <c r="D195" s="207"/>
      <c r="E195" s="207"/>
      <c r="F195" s="207"/>
      <c r="G195" s="207"/>
    </row>
    <row r="196" spans="1:7" ht="10.5" customHeight="1" thickBot="1" x14ac:dyDescent="0.25">
      <c r="A196" s="46"/>
      <c r="B196" s="46"/>
      <c r="C196" s="46"/>
      <c r="D196" s="46"/>
      <c r="E196" s="46"/>
      <c r="F196" s="46"/>
      <c r="G196" s="6" t="s">
        <v>16</v>
      </c>
    </row>
    <row r="197" spans="1:7" ht="12.75" customHeight="1" thickBot="1" x14ac:dyDescent="0.25">
      <c r="A197" s="208" t="str">
        <f>A$5</f>
        <v>Grupo especial de edad / Área de residencia y departamento</v>
      </c>
      <c r="B197" s="210" t="str">
        <f>B$5</f>
        <v>Indígena u originaria de la Amazonía</v>
      </c>
      <c r="C197" s="211"/>
      <c r="D197" s="212"/>
      <c r="E197" s="210" t="s">
        <v>116</v>
      </c>
      <c r="F197" s="211"/>
      <c r="G197" s="212"/>
    </row>
    <row r="198" spans="1:7" ht="12.75" customHeight="1" thickBot="1" x14ac:dyDescent="0.25">
      <c r="A198" s="209"/>
      <c r="B198" s="53" t="str">
        <f t="shared" ref="B198:G198" si="2">B$6</f>
        <v>Total</v>
      </c>
      <c r="C198" s="54" t="str">
        <f t="shared" si="2"/>
        <v>Hombre</v>
      </c>
      <c r="D198" s="55" t="str">
        <f t="shared" si="2"/>
        <v>Mujer</v>
      </c>
      <c r="E198" s="54" t="str">
        <f t="shared" si="2"/>
        <v>Total</v>
      </c>
      <c r="F198" s="54" t="str">
        <f t="shared" si="2"/>
        <v>Hombre</v>
      </c>
      <c r="G198" s="55" t="str">
        <f t="shared" si="2"/>
        <v>Mujer</v>
      </c>
    </row>
    <row r="199" spans="1:7" ht="3.75" customHeight="1" x14ac:dyDescent="0.25">
      <c r="A199" s="84"/>
      <c r="B199" s="58"/>
      <c r="C199" s="85"/>
      <c r="D199" s="85"/>
      <c r="E199" s="86"/>
      <c r="F199" s="86"/>
      <c r="G199" s="87"/>
    </row>
    <row r="200" spans="1:7" ht="10.5" customHeight="1" x14ac:dyDescent="0.2">
      <c r="A200" s="59" t="s">
        <v>8</v>
      </c>
      <c r="B200" s="60">
        <v>4764</v>
      </c>
      <c r="C200" s="61">
        <v>2351</v>
      </c>
      <c r="D200" s="61">
        <v>2413</v>
      </c>
      <c r="E200" s="61">
        <v>541008</v>
      </c>
      <c r="F200" s="61">
        <v>274725</v>
      </c>
      <c r="G200" s="61">
        <v>266283</v>
      </c>
    </row>
    <row r="201" spans="1:7" ht="10.5" customHeight="1" x14ac:dyDescent="0.2">
      <c r="A201" s="13" t="s">
        <v>4</v>
      </c>
      <c r="B201" s="62">
        <v>460</v>
      </c>
      <c r="C201" s="15">
        <v>198</v>
      </c>
      <c r="D201" s="15">
        <v>262</v>
      </c>
      <c r="E201" s="15">
        <v>44717</v>
      </c>
      <c r="F201" s="15">
        <v>22664</v>
      </c>
      <c r="G201" s="15">
        <v>22053</v>
      </c>
    </row>
    <row r="202" spans="1:7" ht="10.5" customHeight="1" x14ac:dyDescent="0.2">
      <c r="A202" s="13" t="s">
        <v>3</v>
      </c>
      <c r="B202" s="62">
        <v>1847</v>
      </c>
      <c r="C202" s="15">
        <v>867</v>
      </c>
      <c r="D202" s="15">
        <v>980</v>
      </c>
      <c r="E202" s="15">
        <v>175361</v>
      </c>
      <c r="F202" s="15">
        <v>86368</v>
      </c>
      <c r="G202" s="15">
        <v>88993</v>
      </c>
    </row>
    <row r="203" spans="1:7" ht="10.5" customHeight="1" x14ac:dyDescent="0.2">
      <c r="A203" s="13" t="s">
        <v>2</v>
      </c>
      <c r="B203" s="62">
        <v>1300</v>
      </c>
      <c r="C203" s="15">
        <v>673</v>
      </c>
      <c r="D203" s="15">
        <v>627</v>
      </c>
      <c r="E203" s="15">
        <v>151338</v>
      </c>
      <c r="F203" s="15">
        <v>76229</v>
      </c>
      <c r="G203" s="15">
        <v>75109</v>
      </c>
    </row>
    <row r="204" spans="1:7" ht="10.5" customHeight="1" x14ac:dyDescent="0.2">
      <c r="A204" s="13" t="s">
        <v>1</v>
      </c>
      <c r="B204" s="62">
        <v>796</v>
      </c>
      <c r="C204" s="15">
        <v>420</v>
      </c>
      <c r="D204" s="15">
        <v>376</v>
      </c>
      <c r="E204" s="15">
        <v>104101</v>
      </c>
      <c r="F204" s="15">
        <v>55552</v>
      </c>
      <c r="G204" s="15">
        <v>48549</v>
      </c>
    </row>
    <row r="205" spans="1:7" ht="10.5" customHeight="1" x14ac:dyDescent="0.2">
      <c r="A205" s="13" t="s">
        <v>0</v>
      </c>
      <c r="B205" s="62">
        <v>361</v>
      </c>
      <c r="C205" s="15">
        <v>193</v>
      </c>
      <c r="D205" s="15">
        <v>168</v>
      </c>
      <c r="E205" s="15">
        <v>65491</v>
      </c>
      <c r="F205" s="15">
        <v>33912</v>
      </c>
      <c r="G205" s="15">
        <v>31579</v>
      </c>
    </row>
    <row r="206" spans="1:7" ht="10.5" customHeight="1" x14ac:dyDescent="0.25">
      <c r="A206" s="68"/>
      <c r="B206" s="69"/>
      <c r="C206" s="93"/>
      <c r="D206" s="93"/>
      <c r="E206" s="92"/>
      <c r="F206" s="92"/>
      <c r="G206" s="92"/>
    </row>
    <row r="207" spans="1:7" ht="10.5" customHeight="1" x14ac:dyDescent="0.2">
      <c r="A207" s="59" t="s">
        <v>7</v>
      </c>
      <c r="B207" s="60">
        <v>248</v>
      </c>
      <c r="C207" s="61">
        <v>132</v>
      </c>
      <c r="D207" s="61">
        <v>116</v>
      </c>
      <c r="E207" s="61">
        <v>155775</v>
      </c>
      <c r="F207" s="61">
        <v>77169</v>
      </c>
      <c r="G207" s="61">
        <v>78606</v>
      </c>
    </row>
    <row r="208" spans="1:7" ht="10.5" customHeight="1" x14ac:dyDescent="0.2">
      <c r="A208" s="13" t="s">
        <v>4</v>
      </c>
      <c r="B208" s="62">
        <v>6</v>
      </c>
      <c r="C208" s="15">
        <v>2</v>
      </c>
      <c r="D208" s="15">
        <v>4</v>
      </c>
      <c r="E208" s="15">
        <v>11532</v>
      </c>
      <c r="F208" s="15">
        <v>5813</v>
      </c>
      <c r="G208" s="15">
        <v>5719</v>
      </c>
    </row>
    <row r="209" spans="1:7" ht="10.5" customHeight="1" x14ac:dyDescent="0.2">
      <c r="A209" s="13" t="s">
        <v>3</v>
      </c>
      <c r="B209" s="62">
        <v>111</v>
      </c>
      <c r="C209" s="15">
        <v>60</v>
      </c>
      <c r="D209" s="15">
        <v>51</v>
      </c>
      <c r="E209" s="15">
        <v>53137</v>
      </c>
      <c r="F209" s="15">
        <v>26897</v>
      </c>
      <c r="G209" s="15">
        <v>26240</v>
      </c>
    </row>
    <row r="210" spans="1:7" ht="10.5" customHeight="1" x14ac:dyDescent="0.2">
      <c r="A210" s="13" t="s">
        <v>2</v>
      </c>
      <c r="B210" s="62">
        <v>91</v>
      </c>
      <c r="C210" s="15">
        <v>46</v>
      </c>
      <c r="D210" s="15">
        <v>45</v>
      </c>
      <c r="E210" s="15">
        <v>41600</v>
      </c>
      <c r="F210" s="15">
        <v>20055</v>
      </c>
      <c r="G210" s="15">
        <v>21545</v>
      </c>
    </row>
    <row r="211" spans="1:7" ht="10.5" customHeight="1" x14ac:dyDescent="0.2">
      <c r="A211" s="13" t="s">
        <v>1</v>
      </c>
      <c r="B211" s="62">
        <v>27</v>
      </c>
      <c r="C211" s="15">
        <v>14</v>
      </c>
      <c r="D211" s="15">
        <v>13</v>
      </c>
      <c r="E211" s="15">
        <v>29802</v>
      </c>
      <c r="F211" s="15">
        <v>14548</v>
      </c>
      <c r="G211" s="15">
        <v>15254</v>
      </c>
    </row>
    <row r="212" spans="1:7" ht="10.5" customHeight="1" x14ac:dyDescent="0.2">
      <c r="A212" s="13" t="s">
        <v>0</v>
      </c>
      <c r="B212" s="62">
        <v>13</v>
      </c>
      <c r="C212" s="15">
        <v>10</v>
      </c>
      <c r="D212" s="15">
        <v>3</v>
      </c>
      <c r="E212" s="15">
        <v>19704</v>
      </c>
      <c r="F212" s="15">
        <v>9856</v>
      </c>
      <c r="G212" s="15">
        <v>9848</v>
      </c>
    </row>
    <row r="213" spans="1:7" ht="10.5" customHeight="1" x14ac:dyDescent="0.25">
      <c r="A213" s="13"/>
      <c r="B213" s="63"/>
      <c r="C213" s="88"/>
      <c r="D213" s="88"/>
      <c r="E213" s="88"/>
      <c r="F213" s="88"/>
      <c r="G213" s="88"/>
    </row>
    <row r="214" spans="1:7" ht="10.5" customHeight="1" x14ac:dyDescent="0.2">
      <c r="A214" s="59" t="s">
        <v>6</v>
      </c>
      <c r="B214" s="60">
        <v>114</v>
      </c>
      <c r="C214" s="61">
        <v>77</v>
      </c>
      <c r="D214" s="61">
        <v>37</v>
      </c>
      <c r="E214" s="61">
        <v>147990</v>
      </c>
      <c r="F214" s="61">
        <v>73395</v>
      </c>
      <c r="G214" s="61">
        <v>74595</v>
      </c>
    </row>
    <row r="215" spans="1:7" ht="10.5" customHeight="1" x14ac:dyDescent="0.2">
      <c r="A215" s="13" t="s">
        <v>4</v>
      </c>
      <c r="B215" s="62">
        <v>4</v>
      </c>
      <c r="C215" s="15">
        <v>2</v>
      </c>
      <c r="D215" s="15">
        <v>2</v>
      </c>
      <c r="E215" s="15">
        <v>10816</v>
      </c>
      <c r="F215" s="15">
        <v>5542</v>
      </c>
      <c r="G215" s="15">
        <v>5274</v>
      </c>
    </row>
    <row r="216" spans="1:7" ht="10.5" customHeight="1" x14ac:dyDescent="0.2">
      <c r="A216" s="13" t="s">
        <v>3</v>
      </c>
      <c r="B216" s="62">
        <v>67</v>
      </c>
      <c r="C216" s="15">
        <v>51</v>
      </c>
      <c r="D216" s="15">
        <v>16</v>
      </c>
      <c r="E216" s="15">
        <v>46192</v>
      </c>
      <c r="F216" s="15">
        <v>22505</v>
      </c>
      <c r="G216" s="15">
        <v>23687</v>
      </c>
    </row>
    <row r="217" spans="1:7" ht="10.5" customHeight="1" x14ac:dyDescent="0.2">
      <c r="A217" s="13" t="s">
        <v>2</v>
      </c>
      <c r="B217" s="62">
        <v>29</v>
      </c>
      <c r="C217" s="15">
        <v>16</v>
      </c>
      <c r="D217" s="15">
        <v>13</v>
      </c>
      <c r="E217" s="15">
        <v>41513</v>
      </c>
      <c r="F217" s="15">
        <v>20021</v>
      </c>
      <c r="G217" s="15">
        <v>21492</v>
      </c>
    </row>
    <row r="218" spans="1:7" ht="10.5" customHeight="1" x14ac:dyDescent="0.2">
      <c r="A218" s="13" t="s">
        <v>1</v>
      </c>
      <c r="B218" s="62">
        <v>9</v>
      </c>
      <c r="C218" s="15">
        <v>5</v>
      </c>
      <c r="D218" s="15">
        <v>4</v>
      </c>
      <c r="E218" s="15">
        <v>29984</v>
      </c>
      <c r="F218" s="15">
        <v>15137</v>
      </c>
      <c r="G218" s="15">
        <v>14847</v>
      </c>
    </row>
    <row r="219" spans="1:7" ht="10.5" customHeight="1" x14ac:dyDescent="0.2">
      <c r="A219" s="13" t="s">
        <v>0</v>
      </c>
      <c r="B219" s="62">
        <v>5</v>
      </c>
      <c r="C219" s="15">
        <v>3</v>
      </c>
      <c r="D219" s="15">
        <v>2</v>
      </c>
      <c r="E219" s="15">
        <v>19485</v>
      </c>
      <c r="F219" s="15">
        <v>10190</v>
      </c>
      <c r="G219" s="15">
        <v>9295</v>
      </c>
    </row>
    <row r="220" spans="1:7" ht="10.5" customHeight="1" x14ac:dyDescent="0.25">
      <c r="A220" s="50"/>
      <c r="B220" s="63"/>
      <c r="C220" s="88"/>
      <c r="D220" s="88"/>
      <c r="E220" s="88"/>
      <c r="F220" s="88"/>
      <c r="G220" s="88"/>
    </row>
    <row r="221" spans="1:7" ht="10.5" customHeight="1" x14ac:dyDescent="0.2">
      <c r="A221" s="59" t="s">
        <v>5</v>
      </c>
      <c r="B221" s="60">
        <v>36774</v>
      </c>
      <c r="C221" s="61">
        <v>17978</v>
      </c>
      <c r="D221" s="61">
        <v>18796</v>
      </c>
      <c r="E221" s="61">
        <v>293650</v>
      </c>
      <c r="F221" s="61">
        <v>147011</v>
      </c>
      <c r="G221" s="61">
        <v>146639</v>
      </c>
    </row>
    <row r="222" spans="1:7" ht="10.5" customHeight="1" x14ac:dyDescent="0.2">
      <c r="A222" s="13" t="s">
        <v>4</v>
      </c>
      <c r="B222" s="62">
        <v>4563</v>
      </c>
      <c r="C222" s="15">
        <v>2307</v>
      </c>
      <c r="D222" s="15">
        <v>2256</v>
      </c>
      <c r="E222" s="15">
        <v>25576</v>
      </c>
      <c r="F222" s="15">
        <v>12964</v>
      </c>
      <c r="G222" s="15">
        <v>12612</v>
      </c>
    </row>
    <row r="223" spans="1:7" ht="10.5" customHeight="1" x14ac:dyDescent="0.2">
      <c r="A223" s="13" t="s">
        <v>3</v>
      </c>
      <c r="B223" s="62">
        <v>14452</v>
      </c>
      <c r="C223" s="15">
        <v>6837</v>
      </c>
      <c r="D223" s="15">
        <v>7615</v>
      </c>
      <c r="E223" s="15">
        <v>99394</v>
      </c>
      <c r="F223" s="15">
        <v>48049</v>
      </c>
      <c r="G223" s="15">
        <v>51345</v>
      </c>
    </row>
    <row r="224" spans="1:7" ht="10.5" customHeight="1" x14ac:dyDescent="0.2">
      <c r="A224" s="13" t="s">
        <v>2</v>
      </c>
      <c r="B224" s="62">
        <v>9650</v>
      </c>
      <c r="C224" s="15">
        <v>4673</v>
      </c>
      <c r="D224" s="15">
        <v>4977</v>
      </c>
      <c r="E224" s="15">
        <v>81559</v>
      </c>
      <c r="F224" s="15">
        <v>40551</v>
      </c>
      <c r="G224" s="15">
        <v>41008</v>
      </c>
    </row>
    <row r="225" spans="1:7" ht="10.5" customHeight="1" x14ac:dyDescent="0.2">
      <c r="A225" s="13" t="s">
        <v>1</v>
      </c>
      <c r="B225" s="62">
        <v>5383</v>
      </c>
      <c r="C225" s="15">
        <v>2761</v>
      </c>
      <c r="D225" s="15">
        <v>2622</v>
      </c>
      <c r="E225" s="15">
        <v>53866</v>
      </c>
      <c r="F225" s="15">
        <v>27762</v>
      </c>
      <c r="G225" s="15">
        <v>26104</v>
      </c>
    </row>
    <row r="226" spans="1:7" ht="10.5" customHeight="1" x14ac:dyDescent="0.2">
      <c r="A226" s="13" t="s">
        <v>0</v>
      </c>
      <c r="B226" s="62">
        <v>2726</v>
      </c>
      <c r="C226" s="15">
        <v>1400</v>
      </c>
      <c r="D226" s="15">
        <v>1326</v>
      </c>
      <c r="E226" s="15">
        <v>33255</v>
      </c>
      <c r="F226" s="15">
        <v>17685</v>
      </c>
      <c r="G226" s="15">
        <v>15570</v>
      </c>
    </row>
    <row r="227" spans="1:7" ht="10.5" customHeight="1" x14ac:dyDescent="0.25">
      <c r="A227" s="13"/>
      <c r="B227" s="63"/>
      <c r="C227" s="88"/>
      <c r="D227" s="88"/>
      <c r="E227" s="88"/>
      <c r="F227" s="88"/>
      <c r="G227" s="88"/>
    </row>
    <row r="228" spans="1:7" ht="10.5" customHeight="1" x14ac:dyDescent="0.2">
      <c r="A228" s="65" t="s">
        <v>129</v>
      </c>
      <c r="B228" s="66">
        <v>14989</v>
      </c>
      <c r="C228" s="67">
        <v>7062</v>
      </c>
      <c r="D228" s="67">
        <v>7927</v>
      </c>
      <c r="E228" s="67">
        <v>5648599</v>
      </c>
      <c r="F228" s="67">
        <v>2703699</v>
      </c>
      <c r="G228" s="67">
        <v>2944900</v>
      </c>
    </row>
    <row r="229" spans="1:7" ht="10.5" customHeight="1" x14ac:dyDescent="0.2">
      <c r="A229" s="13" t="s">
        <v>4</v>
      </c>
      <c r="B229" s="62">
        <v>498</v>
      </c>
      <c r="C229" s="15">
        <v>232</v>
      </c>
      <c r="D229" s="15">
        <v>266</v>
      </c>
      <c r="E229" s="15">
        <v>331834</v>
      </c>
      <c r="F229" s="15">
        <v>167817</v>
      </c>
      <c r="G229" s="15">
        <v>164017</v>
      </c>
    </row>
    <row r="230" spans="1:7" ht="10.5" customHeight="1" x14ac:dyDescent="0.2">
      <c r="A230" s="13" t="s">
        <v>3</v>
      </c>
      <c r="B230" s="62">
        <v>6147</v>
      </c>
      <c r="C230" s="15">
        <v>3039</v>
      </c>
      <c r="D230" s="15">
        <v>3108</v>
      </c>
      <c r="E230" s="15">
        <v>1788993</v>
      </c>
      <c r="F230" s="15">
        <v>881314</v>
      </c>
      <c r="G230" s="15">
        <v>907679</v>
      </c>
    </row>
    <row r="231" spans="1:7" ht="10.5" customHeight="1" x14ac:dyDescent="0.2">
      <c r="A231" s="13" t="s">
        <v>2</v>
      </c>
      <c r="B231" s="62">
        <v>4858</v>
      </c>
      <c r="C231" s="15">
        <v>2308</v>
      </c>
      <c r="D231" s="15">
        <v>2550</v>
      </c>
      <c r="E231" s="15">
        <v>1550720</v>
      </c>
      <c r="F231" s="15">
        <v>739781</v>
      </c>
      <c r="G231" s="15">
        <v>810939</v>
      </c>
    </row>
    <row r="232" spans="1:7" ht="10.5" customHeight="1" x14ac:dyDescent="0.2">
      <c r="A232" s="13" t="s">
        <v>1</v>
      </c>
      <c r="B232" s="62">
        <v>2241</v>
      </c>
      <c r="C232" s="15">
        <v>944</v>
      </c>
      <c r="D232" s="15">
        <v>1297</v>
      </c>
      <c r="E232" s="15">
        <v>1105475</v>
      </c>
      <c r="F232" s="15">
        <v>515955</v>
      </c>
      <c r="G232" s="15">
        <v>589520</v>
      </c>
    </row>
    <row r="233" spans="1:7" ht="10.5" customHeight="1" x14ac:dyDescent="0.2">
      <c r="A233" s="13" t="s">
        <v>0</v>
      </c>
      <c r="B233" s="62">
        <v>1245</v>
      </c>
      <c r="C233" s="15">
        <v>539</v>
      </c>
      <c r="D233" s="15">
        <v>706</v>
      </c>
      <c r="E233" s="15">
        <v>871577</v>
      </c>
      <c r="F233" s="15">
        <v>398832</v>
      </c>
      <c r="G233" s="15">
        <v>472745</v>
      </c>
    </row>
    <row r="234" spans="1:7" ht="10.5" customHeight="1" x14ac:dyDescent="0.25">
      <c r="A234" s="50"/>
      <c r="B234" s="63"/>
      <c r="C234" s="88"/>
      <c r="D234" s="88"/>
      <c r="E234" s="88"/>
      <c r="F234" s="88"/>
      <c r="G234" s="88"/>
    </row>
    <row r="235" spans="1:7" ht="10.5" customHeight="1" x14ac:dyDescent="0.2">
      <c r="A235" s="94" t="s">
        <v>130</v>
      </c>
      <c r="B235" s="66">
        <v>516</v>
      </c>
      <c r="C235" s="67">
        <v>271</v>
      </c>
      <c r="D235" s="67">
        <v>245</v>
      </c>
      <c r="E235" s="67">
        <v>566489</v>
      </c>
      <c r="F235" s="67">
        <v>282559</v>
      </c>
      <c r="G235" s="67">
        <v>283930</v>
      </c>
    </row>
    <row r="236" spans="1:7" ht="10.5" customHeight="1" x14ac:dyDescent="0.2">
      <c r="A236" s="13" t="s">
        <v>4</v>
      </c>
      <c r="B236" s="62">
        <v>15</v>
      </c>
      <c r="C236" s="15">
        <v>10</v>
      </c>
      <c r="D236" s="15">
        <v>5</v>
      </c>
      <c r="E236" s="15">
        <v>39130</v>
      </c>
      <c r="F236" s="15">
        <v>19776</v>
      </c>
      <c r="G236" s="15">
        <v>19354</v>
      </c>
    </row>
    <row r="237" spans="1:7" ht="10.5" customHeight="1" x14ac:dyDescent="0.2">
      <c r="A237" s="13" t="s">
        <v>3</v>
      </c>
      <c r="B237" s="62">
        <v>218</v>
      </c>
      <c r="C237" s="15">
        <v>110</v>
      </c>
      <c r="D237" s="15">
        <v>108</v>
      </c>
      <c r="E237" s="15">
        <v>175236</v>
      </c>
      <c r="F237" s="15">
        <v>87149</v>
      </c>
      <c r="G237" s="15">
        <v>88087</v>
      </c>
    </row>
    <row r="238" spans="1:7" ht="10.5" customHeight="1" x14ac:dyDescent="0.2">
      <c r="A238" s="13" t="s">
        <v>2</v>
      </c>
      <c r="B238" s="62">
        <v>183</v>
      </c>
      <c r="C238" s="15">
        <v>99</v>
      </c>
      <c r="D238" s="15">
        <v>84</v>
      </c>
      <c r="E238" s="15">
        <v>149343</v>
      </c>
      <c r="F238" s="15">
        <v>74301</v>
      </c>
      <c r="G238" s="15">
        <v>75042</v>
      </c>
    </row>
    <row r="239" spans="1:7" ht="10.5" customHeight="1" x14ac:dyDescent="0.2">
      <c r="A239" s="13" t="s">
        <v>1</v>
      </c>
      <c r="B239" s="62">
        <v>69</v>
      </c>
      <c r="C239" s="15">
        <v>36</v>
      </c>
      <c r="D239" s="15">
        <v>33</v>
      </c>
      <c r="E239" s="15">
        <v>109818</v>
      </c>
      <c r="F239" s="15">
        <v>54875</v>
      </c>
      <c r="G239" s="15">
        <v>54943</v>
      </c>
    </row>
    <row r="240" spans="1:7" ht="10.5" customHeight="1" x14ac:dyDescent="0.2">
      <c r="A240" s="13" t="s">
        <v>0</v>
      </c>
      <c r="B240" s="62">
        <v>31</v>
      </c>
      <c r="C240" s="15">
        <v>16</v>
      </c>
      <c r="D240" s="15">
        <v>15</v>
      </c>
      <c r="E240" s="15">
        <v>92962</v>
      </c>
      <c r="F240" s="15">
        <v>46458</v>
      </c>
      <c r="G240" s="15">
        <v>46504</v>
      </c>
    </row>
    <row r="241" spans="1:7" ht="3.75" customHeight="1" thickBot="1" x14ac:dyDescent="0.3">
      <c r="A241" s="95"/>
      <c r="B241" s="96"/>
      <c r="C241" s="97"/>
      <c r="D241" s="97"/>
      <c r="E241" s="97"/>
      <c r="F241" s="97"/>
      <c r="G241" s="97"/>
    </row>
    <row r="242" spans="1:7" ht="3.75" customHeight="1" x14ac:dyDescent="0.25">
      <c r="A242" s="3"/>
      <c r="B242" s="2"/>
      <c r="C242" s="2"/>
      <c r="D242" s="2"/>
      <c r="E242" s="4"/>
      <c r="F242" s="4"/>
      <c r="G242" s="4"/>
    </row>
    <row r="243" spans="1:7" ht="28.5" customHeight="1" x14ac:dyDescent="0.2">
      <c r="A243" s="204" t="s">
        <v>108</v>
      </c>
      <c r="B243" s="204"/>
      <c r="C243" s="204"/>
      <c r="D243" s="204"/>
      <c r="E243" s="204"/>
      <c r="F243" s="204"/>
      <c r="G243" s="204"/>
    </row>
    <row r="244" spans="1:7" ht="13.5" x14ac:dyDescent="0.25">
      <c r="A244" s="49" t="s">
        <v>86</v>
      </c>
      <c r="B244" s="35"/>
      <c r="C244" s="35"/>
      <c r="D244" s="35"/>
      <c r="E244" s="4"/>
      <c r="F244" s="4"/>
      <c r="G244" s="4"/>
    </row>
    <row r="245" spans="1:7" ht="13.5" x14ac:dyDescent="0.25">
      <c r="A245" s="98" t="s">
        <v>87</v>
      </c>
      <c r="B245" s="35"/>
      <c r="C245" s="35"/>
      <c r="D245" s="35"/>
      <c r="E245" s="4"/>
      <c r="F245" s="4"/>
      <c r="G245" s="4"/>
    </row>
    <row r="246" spans="1:7" ht="25.5" customHeight="1" x14ac:dyDescent="0.25">
      <c r="A246" s="203" t="s">
        <v>118</v>
      </c>
      <c r="B246" s="203"/>
      <c r="C246" s="203"/>
      <c r="D246" s="203"/>
      <c r="E246" s="203"/>
      <c r="F246" s="203"/>
      <c r="G246" s="203"/>
    </row>
  </sheetData>
  <mergeCells count="26">
    <mergeCell ref="A131:G131"/>
    <mergeCell ref="A195:G195"/>
    <mergeCell ref="A197:A198"/>
    <mergeCell ref="B197:D197"/>
    <mergeCell ref="E197:G197"/>
    <mergeCell ref="A133:A134"/>
    <mergeCell ref="B133:D133"/>
    <mergeCell ref="E133:G133"/>
    <mergeCell ref="A193:G193"/>
    <mergeCell ref="A194:G194"/>
    <mergeCell ref="A246:G246"/>
    <mergeCell ref="A243:G243"/>
    <mergeCell ref="A1:G1"/>
    <mergeCell ref="A2:G2"/>
    <mergeCell ref="A3:G3"/>
    <mergeCell ref="A5:A6"/>
    <mergeCell ref="B5:D5"/>
    <mergeCell ref="E5:G5"/>
    <mergeCell ref="A65:G65"/>
    <mergeCell ref="A66:G66"/>
    <mergeCell ref="A67:G67"/>
    <mergeCell ref="A69:A70"/>
    <mergeCell ref="B69:D69"/>
    <mergeCell ref="E69:G69"/>
    <mergeCell ref="A129:G129"/>
    <mergeCell ref="A130:G130"/>
  </mergeCells>
  <pageMargins left="0.98425196850393704" right="0.98425196850393704" top="0.98425196850393704" bottom="0.98425196850393704" header="0.98425196850393704" footer="0.98425196850393704"/>
  <pageSetup paperSize="9" orientation="portrait" r:id="rId1"/>
  <rowBreaks count="3" manualBreakCount="3">
    <brk id="64" max="16383" man="1"/>
    <brk id="128" max="16383" man="1"/>
    <brk id="19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246"/>
  <sheetViews>
    <sheetView showWhiteSpace="0" view="pageBreakPreview" zoomScale="145" zoomScaleNormal="100" zoomScaleSheetLayoutView="145" workbookViewId="0">
      <selection sqref="A1:G1"/>
    </sheetView>
  </sheetViews>
  <sheetFormatPr baseColWidth="10" defaultRowHeight="12.75" x14ac:dyDescent="0.25"/>
  <cols>
    <col min="1" max="1" width="25.28515625" style="10" customWidth="1"/>
    <col min="2" max="4" width="9.42578125" style="31" customWidth="1"/>
    <col min="5" max="7" width="9.42578125" style="4" customWidth="1"/>
    <col min="8" max="16384" width="11.42578125" style="10"/>
  </cols>
  <sheetData>
    <row r="1" spans="1:7" ht="12.75" customHeight="1" x14ac:dyDescent="0.2">
      <c r="A1" s="205" t="s">
        <v>137</v>
      </c>
      <c r="B1" s="205"/>
      <c r="C1" s="205"/>
      <c r="D1" s="205"/>
      <c r="E1" s="205"/>
      <c r="F1" s="205"/>
      <c r="G1" s="205"/>
    </row>
    <row r="2" spans="1:7" ht="39.75" customHeight="1" x14ac:dyDescent="0.2">
      <c r="A2" s="206" t="s">
        <v>110</v>
      </c>
      <c r="B2" s="206"/>
      <c r="C2" s="206"/>
      <c r="D2" s="206"/>
      <c r="E2" s="206"/>
      <c r="F2" s="206"/>
      <c r="G2" s="206"/>
    </row>
    <row r="3" spans="1:7" ht="12.75" customHeight="1" x14ac:dyDescent="0.25">
      <c r="A3" s="215" t="s">
        <v>17</v>
      </c>
      <c r="B3" s="215"/>
      <c r="C3" s="215"/>
      <c r="D3" s="215"/>
      <c r="E3" s="215"/>
      <c r="F3" s="215"/>
      <c r="G3" s="215"/>
    </row>
    <row r="4" spans="1:7" ht="10.5" customHeight="1" thickBot="1" x14ac:dyDescent="0.25">
      <c r="A4" s="48"/>
      <c r="B4" s="48"/>
      <c r="C4" s="48"/>
      <c r="D4" s="48"/>
      <c r="E4" s="48"/>
      <c r="F4" s="48"/>
      <c r="G4" s="48"/>
    </row>
    <row r="5" spans="1:7" ht="12.75" customHeight="1" thickBot="1" x14ac:dyDescent="0.25">
      <c r="A5" s="208" t="s">
        <v>95</v>
      </c>
      <c r="B5" s="210" t="s">
        <v>117</v>
      </c>
      <c r="C5" s="211"/>
      <c r="D5" s="212"/>
      <c r="E5" s="210" t="s">
        <v>116</v>
      </c>
      <c r="F5" s="211"/>
      <c r="G5" s="212"/>
    </row>
    <row r="6" spans="1:7" ht="12.75" customHeight="1" thickBot="1" x14ac:dyDescent="0.25">
      <c r="A6" s="209"/>
      <c r="B6" s="53" t="s">
        <v>15</v>
      </c>
      <c r="C6" s="54" t="s">
        <v>14</v>
      </c>
      <c r="D6" s="55" t="s">
        <v>13</v>
      </c>
      <c r="E6" s="56" t="s">
        <v>15</v>
      </c>
      <c r="F6" s="56" t="s">
        <v>14</v>
      </c>
      <c r="G6" s="57" t="s">
        <v>13</v>
      </c>
    </row>
    <row r="7" spans="1:7" ht="3.75" customHeight="1" x14ac:dyDescent="0.25">
      <c r="A7" s="51"/>
      <c r="B7" s="102"/>
      <c r="C7" s="8"/>
      <c r="D7" s="8"/>
      <c r="E7" s="28"/>
      <c r="F7" s="28"/>
      <c r="G7" s="103"/>
    </row>
    <row r="8" spans="1:7" ht="10.5" customHeight="1" x14ac:dyDescent="0.2">
      <c r="A8" s="59" t="s">
        <v>15</v>
      </c>
      <c r="B8" s="60">
        <v>212823</v>
      </c>
      <c r="C8" s="61">
        <v>105183</v>
      </c>
      <c r="D8" s="61">
        <v>107640</v>
      </c>
      <c r="E8" s="61">
        <v>16382789</v>
      </c>
      <c r="F8" s="61">
        <v>7950827</v>
      </c>
      <c r="G8" s="61">
        <v>8431962</v>
      </c>
    </row>
    <row r="9" spans="1:7" ht="10.5" customHeight="1" x14ac:dyDescent="0.2">
      <c r="A9" s="104" t="s">
        <v>55</v>
      </c>
      <c r="B9" s="62">
        <v>4774</v>
      </c>
      <c r="C9" s="15">
        <v>2080</v>
      </c>
      <c r="D9" s="15">
        <v>2694</v>
      </c>
      <c r="E9" s="15">
        <v>45598</v>
      </c>
      <c r="F9" s="15">
        <v>23010</v>
      </c>
      <c r="G9" s="15">
        <v>22588</v>
      </c>
    </row>
    <row r="10" spans="1:7" ht="10.5" customHeight="1" x14ac:dyDescent="0.2">
      <c r="A10" s="104" t="s">
        <v>54</v>
      </c>
      <c r="B10" s="62">
        <v>119</v>
      </c>
      <c r="C10" s="15">
        <v>54</v>
      </c>
      <c r="D10" s="15">
        <v>65</v>
      </c>
      <c r="E10" s="15">
        <v>70513</v>
      </c>
      <c r="F10" s="15">
        <v>37640</v>
      </c>
      <c r="G10" s="15">
        <v>32873</v>
      </c>
    </row>
    <row r="11" spans="1:7" ht="10.5" customHeight="1" x14ac:dyDescent="0.2">
      <c r="A11" s="104" t="s">
        <v>53</v>
      </c>
      <c r="B11" s="62">
        <v>6007</v>
      </c>
      <c r="C11" s="15">
        <v>2479</v>
      </c>
      <c r="D11" s="15">
        <v>3528</v>
      </c>
      <c r="E11" s="15">
        <v>34879</v>
      </c>
      <c r="F11" s="15">
        <v>16928</v>
      </c>
      <c r="G11" s="15">
        <v>17951</v>
      </c>
    </row>
    <row r="12" spans="1:7" ht="10.5" customHeight="1" x14ac:dyDescent="0.2">
      <c r="A12" s="104" t="s">
        <v>52</v>
      </c>
      <c r="B12" s="62">
        <v>22694</v>
      </c>
      <c r="C12" s="15">
        <v>11468</v>
      </c>
      <c r="D12" s="15">
        <v>11226</v>
      </c>
      <c r="E12" s="15">
        <v>1313801</v>
      </c>
      <c r="F12" s="15">
        <v>675643</v>
      </c>
      <c r="G12" s="15">
        <v>638158</v>
      </c>
    </row>
    <row r="13" spans="1:7" s="1" customFormat="1" ht="10.5" customHeight="1" x14ac:dyDescent="0.25">
      <c r="A13" s="104" t="s">
        <v>51</v>
      </c>
      <c r="B13" s="62">
        <v>179229</v>
      </c>
      <c r="C13" s="15">
        <v>89102</v>
      </c>
      <c r="D13" s="15">
        <v>90127</v>
      </c>
      <c r="E13" s="15">
        <v>14917998</v>
      </c>
      <c r="F13" s="15">
        <v>7197606</v>
      </c>
      <c r="G13" s="15">
        <v>7720392</v>
      </c>
    </row>
    <row r="14" spans="1:7" s="1" customFormat="1" ht="10.5" customHeight="1" x14ac:dyDescent="0.25">
      <c r="A14" s="13"/>
      <c r="B14" s="63"/>
      <c r="C14" s="88"/>
      <c r="D14" s="88"/>
      <c r="E14" s="88"/>
      <c r="F14" s="88"/>
      <c r="G14" s="88"/>
    </row>
    <row r="15" spans="1:7" s="1" customFormat="1" ht="10.5" customHeight="1" x14ac:dyDescent="0.25">
      <c r="A15" s="65" t="s">
        <v>37</v>
      </c>
      <c r="B15" s="66">
        <v>56337</v>
      </c>
      <c r="C15" s="67">
        <v>26827</v>
      </c>
      <c r="D15" s="67">
        <v>29510</v>
      </c>
      <c r="E15" s="67">
        <v>13996109</v>
      </c>
      <c r="F15" s="67">
        <v>6726342</v>
      </c>
      <c r="G15" s="67">
        <v>7269767</v>
      </c>
    </row>
    <row r="16" spans="1:7" s="1" customFormat="1" ht="10.5" customHeight="1" x14ac:dyDescent="0.25">
      <c r="A16" s="104" t="s">
        <v>55</v>
      </c>
      <c r="B16" s="62">
        <v>342</v>
      </c>
      <c r="C16" s="15">
        <v>173</v>
      </c>
      <c r="D16" s="15">
        <v>169</v>
      </c>
      <c r="E16" s="15">
        <v>34165</v>
      </c>
      <c r="F16" s="15">
        <v>17787</v>
      </c>
      <c r="G16" s="15">
        <v>16378</v>
      </c>
    </row>
    <row r="17" spans="1:7" s="1" customFormat="1" ht="10.5" customHeight="1" x14ac:dyDescent="0.25">
      <c r="A17" s="104" t="s">
        <v>54</v>
      </c>
      <c r="B17" s="62">
        <v>53</v>
      </c>
      <c r="C17" s="15">
        <v>22</v>
      </c>
      <c r="D17" s="15">
        <v>31</v>
      </c>
      <c r="E17" s="15">
        <v>69008</v>
      </c>
      <c r="F17" s="15">
        <v>36828</v>
      </c>
      <c r="G17" s="15">
        <v>32180</v>
      </c>
    </row>
    <row r="18" spans="1:7" s="1" customFormat="1" ht="10.5" customHeight="1" x14ac:dyDescent="0.25">
      <c r="A18" s="104" t="s">
        <v>53</v>
      </c>
      <c r="B18" s="62">
        <v>305</v>
      </c>
      <c r="C18" s="15">
        <v>133</v>
      </c>
      <c r="D18" s="15">
        <v>172</v>
      </c>
      <c r="E18" s="15">
        <v>20944</v>
      </c>
      <c r="F18" s="15">
        <v>11071</v>
      </c>
      <c r="G18" s="15">
        <v>9873</v>
      </c>
    </row>
    <row r="19" spans="1:7" s="1" customFormat="1" ht="10.5" customHeight="1" x14ac:dyDescent="0.25">
      <c r="A19" s="104" t="s">
        <v>52</v>
      </c>
      <c r="B19" s="62">
        <v>4860</v>
      </c>
      <c r="C19" s="15">
        <v>2414</v>
      </c>
      <c r="D19" s="15">
        <v>2446</v>
      </c>
      <c r="E19" s="15">
        <v>1059560</v>
      </c>
      <c r="F19" s="15">
        <v>538307</v>
      </c>
      <c r="G19" s="15">
        <v>521253</v>
      </c>
    </row>
    <row r="20" spans="1:7" s="1" customFormat="1" ht="10.5" customHeight="1" x14ac:dyDescent="0.25">
      <c r="A20" s="104" t="s">
        <v>51</v>
      </c>
      <c r="B20" s="62">
        <v>50777</v>
      </c>
      <c r="C20" s="15">
        <v>24085</v>
      </c>
      <c r="D20" s="15">
        <v>26692</v>
      </c>
      <c r="E20" s="15">
        <v>12812432</v>
      </c>
      <c r="F20" s="15">
        <v>6122349</v>
      </c>
      <c r="G20" s="15">
        <v>6690083</v>
      </c>
    </row>
    <row r="21" spans="1:7" s="1" customFormat="1" ht="10.5" customHeight="1" x14ac:dyDescent="0.25">
      <c r="A21" s="13"/>
      <c r="B21" s="63"/>
      <c r="C21" s="88"/>
      <c r="D21" s="88"/>
      <c r="E21" s="88"/>
      <c r="F21" s="88"/>
      <c r="G21" s="88"/>
    </row>
    <row r="22" spans="1:7" s="1" customFormat="1" ht="10.5" customHeight="1" x14ac:dyDescent="0.25">
      <c r="A22" s="65" t="s">
        <v>36</v>
      </c>
      <c r="B22" s="66">
        <v>156486</v>
      </c>
      <c r="C22" s="67">
        <v>78356</v>
      </c>
      <c r="D22" s="67">
        <v>78130</v>
      </c>
      <c r="E22" s="67">
        <v>2386680</v>
      </c>
      <c r="F22" s="67">
        <v>1224485</v>
      </c>
      <c r="G22" s="67">
        <v>1162195</v>
      </c>
    </row>
    <row r="23" spans="1:7" s="1" customFormat="1" ht="10.5" customHeight="1" x14ac:dyDescent="0.25">
      <c r="A23" s="104" t="s">
        <v>55</v>
      </c>
      <c r="B23" s="62">
        <v>4432</v>
      </c>
      <c r="C23" s="15">
        <v>1907</v>
      </c>
      <c r="D23" s="15">
        <v>2525</v>
      </c>
      <c r="E23" s="15">
        <v>11433</v>
      </c>
      <c r="F23" s="15">
        <v>5223</v>
      </c>
      <c r="G23" s="15">
        <v>6210</v>
      </c>
    </row>
    <row r="24" spans="1:7" s="1" customFormat="1" ht="10.5" customHeight="1" x14ac:dyDescent="0.25">
      <c r="A24" s="104" t="s">
        <v>54</v>
      </c>
      <c r="B24" s="62">
        <v>66</v>
      </c>
      <c r="C24" s="15">
        <v>32</v>
      </c>
      <c r="D24" s="15">
        <v>34</v>
      </c>
      <c r="E24" s="15">
        <v>1505</v>
      </c>
      <c r="F24" s="15">
        <v>812</v>
      </c>
      <c r="G24" s="15">
        <v>693</v>
      </c>
    </row>
    <row r="25" spans="1:7" s="1" customFormat="1" ht="10.5" customHeight="1" x14ac:dyDescent="0.25">
      <c r="A25" s="104" t="s">
        <v>53</v>
      </c>
      <c r="B25" s="62">
        <v>5702</v>
      </c>
      <c r="C25" s="15">
        <v>2346</v>
      </c>
      <c r="D25" s="15">
        <v>3356</v>
      </c>
      <c r="E25" s="15">
        <v>13935</v>
      </c>
      <c r="F25" s="15">
        <v>5857</v>
      </c>
      <c r="G25" s="15">
        <v>8078</v>
      </c>
    </row>
    <row r="26" spans="1:7" s="1" customFormat="1" ht="10.5" customHeight="1" x14ac:dyDescent="0.25">
      <c r="A26" s="104" t="s">
        <v>52</v>
      </c>
      <c r="B26" s="62">
        <v>17834</v>
      </c>
      <c r="C26" s="15">
        <v>9054</v>
      </c>
      <c r="D26" s="15">
        <v>8780</v>
      </c>
      <c r="E26" s="15">
        <v>254241</v>
      </c>
      <c r="F26" s="15">
        <v>137336</v>
      </c>
      <c r="G26" s="15">
        <v>116905</v>
      </c>
    </row>
    <row r="27" spans="1:7" s="1" customFormat="1" ht="10.5" customHeight="1" x14ac:dyDescent="0.25">
      <c r="A27" s="104" t="s">
        <v>51</v>
      </c>
      <c r="B27" s="62">
        <v>128452</v>
      </c>
      <c r="C27" s="15">
        <v>65017</v>
      </c>
      <c r="D27" s="15">
        <v>63435</v>
      </c>
      <c r="E27" s="15">
        <v>2105566</v>
      </c>
      <c r="F27" s="15">
        <v>1075257</v>
      </c>
      <c r="G27" s="15">
        <v>1030309</v>
      </c>
    </row>
    <row r="28" spans="1:7" s="1" customFormat="1" ht="10.5" customHeight="1" x14ac:dyDescent="0.25">
      <c r="A28" s="68"/>
      <c r="B28" s="69"/>
      <c r="C28" s="93"/>
      <c r="D28" s="93"/>
      <c r="E28" s="92"/>
      <c r="F28" s="92"/>
      <c r="G28" s="88"/>
    </row>
    <row r="29" spans="1:7" s="1" customFormat="1" ht="10.5" customHeight="1" x14ac:dyDescent="0.25">
      <c r="A29" s="59" t="s">
        <v>35</v>
      </c>
      <c r="B29" s="60">
        <v>34958</v>
      </c>
      <c r="C29" s="61">
        <v>17070</v>
      </c>
      <c r="D29" s="61">
        <v>17888</v>
      </c>
      <c r="E29" s="61">
        <v>228548</v>
      </c>
      <c r="F29" s="61">
        <v>115326</v>
      </c>
      <c r="G29" s="61">
        <v>113222</v>
      </c>
    </row>
    <row r="30" spans="1:7" s="1" customFormat="1" ht="10.5" customHeight="1" x14ac:dyDescent="0.25">
      <c r="A30" s="104" t="s">
        <v>55</v>
      </c>
      <c r="B30" s="62">
        <v>1122</v>
      </c>
      <c r="C30" s="15">
        <v>455</v>
      </c>
      <c r="D30" s="15">
        <v>667</v>
      </c>
      <c r="E30" s="15">
        <v>715</v>
      </c>
      <c r="F30" s="15">
        <v>324</v>
      </c>
      <c r="G30" s="15">
        <v>391</v>
      </c>
    </row>
    <row r="31" spans="1:7" s="1" customFormat="1" ht="10.5" customHeight="1" x14ac:dyDescent="0.25">
      <c r="A31" s="104" t="s">
        <v>54</v>
      </c>
      <c r="B31" s="62">
        <v>6</v>
      </c>
      <c r="C31" s="15">
        <v>4</v>
      </c>
      <c r="D31" s="15">
        <v>2</v>
      </c>
      <c r="E31" s="15">
        <v>156</v>
      </c>
      <c r="F31" s="15">
        <v>72</v>
      </c>
      <c r="G31" s="15">
        <v>84</v>
      </c>
    </row>
    <row r="32" spans="1:7" s="1" customFormat="1" ht="10.5" customHeight="1" x14ac:dyDescent="0.25">
      <c r="A32" s="104" t="s">
        <v>53</v>
      </c>
      <c r="B32" s="62">
        <v>1456</v>
      </c>
      <c r="C32" s="15">
        <v>521</v>
      </c>
      <c r="D32" s="15">
        <v>935</v>
      </c>
      <c r="E32" s="15">
        <v>954</v>
      </c>
      <c r="F32" s="15">
        <v>389</v>
      </c>
      <c r="G32" s="15">
        <v>565</v>
      </c>
    </row>
    <row r="33" spans="1:7" s="1" customFormat="1" ht="10.5" customHeight="1" x14ac:dyDescent="0.25">
      <c r="A33" s="104" t="s">
        <v>52</v>
      </c>
      <c r="B33" s="62">
        <v>3990</v>
      </c>
      <c r="C33" s="15">
        <v>1986</v>
      </c>
      <c r="D33" s="15">
        <v>2004</v>
      </c>
      <c r="E33" s="15">
        <v>17020</v>
      </c>
      <c r="F33" s="15">
        <v>9085</v>
      </c>
      <c r="G33" s="15">
        <v>7935</v>
      </c>
    </row>
    <row r="34" spans="1:7" s="1" customFormat="1" ht="10.5" customHeight="1" x14ac:dyDescent="0.25">
      <c r="A34" s="104" t="s">
        <v>51</v>
      </c>
      <c r="B34" s="62">
        <v>28384</v>
      </c>
      <c r="C34" s="15">
        <v>14104</v>
      </c>
      <c r="D34" s="15">
        <v>14280</v>
      </c>
      <c r="E34" s="15">
        <v>209703</v>
      </c>
      <c r="F34" s="15">
        <v>105456</v>
      </c>
      <c r="G34" s="15">
        <v>104247</v>
      </c>
    </row>
    <row r="35" spans="1:7" s="1" customFormat="1" ht="10.5" customHeight="1" x14ac:dyDescent="0.25">
      <c r="A35" s="50"/>
      <c r="B35" s="63"/>
      <c r="C35" s="88"/>
      <c r="D35" s="88"/>
      <c r="E35" s="88"/>
      <c r="F35" s="88"/>
      <c r="G35" s="88"/>
    </row>
    <row r="36" spans="1:7" s="1" customFormat="1" ht="10.5" customHeight="1" x14ac:dyDescent="0.25">
      <c r="A36" s="59" t="s">
        <v>34</v>
      </c>
      <c r="B36" s="60">
        <v>211</v>
      </c>
      <c r="C36" s="61">
        <v>114</v>
      </c>
      <c r="D36" s="61">
        <v>97</v>
      </c>
      <c r="E36" s="61">
        <v>533048</v>
      </c>
      <c r="F36" s="61">
        <v>261806</v>
      </c>
      <c r="G36" s="61">
        <v>271242</v>
      </c>
    </row>
    <row r="37" spans="1:7" s="1" customFormat="1" ht="10.5" customHeight="1" x14ac:dyDescent="0.25">
      <c r="A37" s="104" t="s">
        <v>55</v>
      </c>
      <c r="B37" s="62">
        <v>1</v>
      </c>
      <c r="C37" s="15">
        <v>0</v>
      </c>
      <c r="D37" s="15">
        <v>1</v>
      </c>
      <c r="E37" s="15">
        <v>1216</v>
      </c>
      <c r="F37" s="15">
        <v>593</v>
      </c>
      <c r="G37" s="15">
        <v>623</v>
      </c>
    </row>
    <row r="38" spans="1:7" s="1" customFormat="1" ht="10.5" customHeight="1" x14ac:dyDescent="0.25">
      <c r="A38" s="104" t="s">
        <v>54</v>
      </c>
      <c r="B38" s="62">
        <v>1</v>
      </c>
      <c r="C38" s="15">
        <v>0</v>
      </c>
      <c r="D38" s="15">
        <v>1</v>
      </c>
      <c r="E38" s="15">
        <v>1018</v>
      </c>
      <c r="F38" s="15">
        <v>545</v>
      </c>
      <c r="G38" s="15">
        <v>473</v>
      </c>
    </row>
    <row r="39" spans="1:7" s="1" customFormat="1" ht="10.5" customHeight="1" x14ac:dyDescent="0.25">
      <c r="A39" s="104" t="s">
        <v>53</v>
      </c>
      <c r="B39" s="62">
        <v>1</v>
      </c>
      <c r="C39" s="15">
        <v>0</v>
      </c>
      <c r="D39" s="15">
        <v>1</v>
      </c>
      <c r="E39" s="15">
        <v>950</v>
      </c>
      <c r="F39" s="15">
        <v>426</v>
      </c>
      <c r="G39" s="15">
        <v>524</v>
      </c>
    </row>
    <row r="40" spans="1:7" s="1" customFormat="1" ht="10.5" customHeight="1" x14ac:dyDescent="0.25">
      <c r="A40" s="104" t="s">
        <v>52</v>
      </c>
      <c r="B40" s="62">
        <v>16</v>
      </c>
      <c r="C40" s="15">
        <v>11</v>
      </c>
      <c r="D40" s="15">
        <v>5</v>
      </c>
      <c r="E40" s="15">
        <v>43172</v>
      </c>
      <c r="F40" s="15">
        <v>22463</v>
      </c>
      <c r="G40" s="15">
        <v>20709</v>
      </c>
    </row>
    <row r="41" spans="1:7" s="1" customFormat="1" ht="10.5" customHeight="1" x14ac:dyDescent="0.25">
      <c r="A41" s="104" t="s">
        <v>51</v>
      </c>
      <c r="B41" s="62">
        <v>192</v>
      </c>
      <c r="C41" s="15">
        <v>103</v>
      </c>
      <c r="D41" s="15">
        <v>89</v>
      </c>
      <c r="E41" s="15">
        <v>486692</v>
      </c>
      <c r="F41" s="15">
        <v>237779</v>
      </c>
      <c r="G41" s="15">
        <v>248913</v>
      </c>
    </row>
    <row r="42" spans="1:7" s="1" customFormat="1" ht="10.5" customHeight="1" x14ac:dyDescent="0.25">
      <c r="A42" s="50"/>
      <c r="B42" s="63"/>
      <c r="C42" s="88"/>
      <c r="D42" s="88"/>
      <c r="E42" s="88"/>
      <c r="F42" s="88"/>
      <c r="G42" s="88"/>
    </row>
    <row r="43" spans="1:7" s="1" customFormat="1" ht="10.5" customHeight="1" x14ac:dyDescent="0.25">
      <c r="A43" s="59" t="s">
        <v>33</v>
      </c>
      <c r="B43" s="60">
        <v>144</v>
      </c>
      <c r="C43" s="61">
        <v>72</v>
      </c>
      <c r="D43" s="61">
        <v>72</v>
      </c>
      <c r="E43" s="61">
        <v>40128</v>
      </c>
      <c r="F43" s="61">
        <v>21124</v>
      </c>
      <c r="G43" s="61">
        <v>19004</v>
      </c>
    </row>
    <row r="44" spans="1:7" s="1" customFormat="1" ht="10.5" customHeight="1" x14ac:dyDescent="0.25">
      <c r="A44" s="104" t="s">
        <v>55</v>
      </c>
      <c r="B44" s="62">
        <v>0</v>
      </c>
      <c r="C44" s="15">
        <v>0</v>
      </c>
      <c r="D44" s="15">
        <v>0</v>
      </c>
      <c r="E44" s="15">
        <v>56</v>
      </c>
      <c r="F44" s="15">
        <v>31</v>
      </c>
      <c r="G44" s="15">
        <v>25</v>
      </c>
    </row>
    <row r="45" spans="1:7" s="1" customFormat="1" ht="10.5" customHeight="1" x14ac:dyDescent="0.25">
      <c r="A45" s="104" t="s">
        <v>54</v>
      </c>
      <c r="B45" s="62">
        <v>0</v>
      </c>
      <c r="C45" s="15">
        <v>0</v>
      </c>
      <c r="D45" s="15">
        <v>0</v>
      </c>
      <c r="E45" s="15">
        <v>182</v>
      </c>
      <c r="F45" s="15">
        <v>93</v>
      </c>
      <c r="G45" s="15">
        <v>89</v>
      </c>
    </row>
    <row r="46" spans="1:7" s="1" customFormat="1" ht="10.5" customHeight="1" x14ac:dyDescent="0.25">
      <c r="A46" s="104" t="s">
        <v>53</v>
      </c>
      <c r="B46" s="62">
        <v>0</v>
      </c>
      <c r="C46" s="15">
        <v>0</v>
      </c>
      <c r="D46" s="15">
        <v>0</v>
      </c>
      <c r="E46" s="15">
        <v>33</v>
      </c>
      <c r="F46" s="15">
        <v>20</v>
      </c>
      <c r="G46" s="15">
        <v>13</v>
      </c>
    </row>
    <row r="47" spans="1:7" s="1" customFormat="1" ht="10.5" customHeight="1" x14ac:dyDescent="0.25">
      <c r="A47" s="104" t="s">
        <v>52</v>
      </c>
      <c r="B47" s="62">
        <v>9</v>
      </c>
      <c r="C47" s="15">
        <v>5</v>
      </c>
      <c r="D47" s="15">
        <v>4</v>
      </c>
      <c r="E47" s="15">
        <v>3412</v>
      </c>
      <c r="F47" s="15">
        <v>1887</v>
      </c>
      <c r="G47" s="15">
        <v>1525</v>
      </c>
    </row>
    <row r="48" spans="1:7" s="1" customFormat="1" ht="10.5" customHeight="1" x14ac:dyDescent="0.25">
      <c r="A48" s="104" t="s">
        <v>51</v>
      </c>
      <c r="B48" s="62">
        <v>135</v>
      </c>
      <c r="C48" s="15">
        <v>67</v>
      </c>
      <c r="D48" s="15">
        <v>68</v>
      </c>
      <c r="E48" s="15">
        <v>36445</v>
      </c>
      <c r="F48" s="15">
        <v>19093</v>
      </c>
      <c r="G48" s="15">
        <v>17352</v>
      </c>
    </row>
    <row r="49" spans="1:7" s="1" customFormat="1" ht="10.5" customHeight="1" x14ac:dyDescent="0.25">
      <c r="A49" s="13"/>
      <c r="B49" s="63"/>
      <c r="C49" s="88"/>
      <c r="D49" s="88"/>
      <c r="E49" s="88"/>
      <c r="F49" s="88"/>
      <c r="G49" s="88"/>
    </row>
    <row r="50" spans="1:7" s="1" customFormat="1" ht="10.5" customHeight="1" x14ac:dyDescent="0.25">
      <c r="A50" s="59" t="s">
        <v>32</v>
      </c>
      <c r="B50" s="60">
        <v>627</v>
      </c>
      <c r="C50" s="61">
        <v>327</v>
      </c>
      <c r="D50" s="61">
        <v>300</v>
      </c>
      <c r="E50" s="61">
        <v>705710</v>
      </c>
      <c r="F50" s="61">
        <v>341302</v>
      </c>
      <c r="G50" s="61">
        <v>364408</v>
      </c>
    </row>
    <row r="51" spans="1:7" s="1" customFormat="1" ht="10.5" customHeight="1" x14ac:dyDescent="0.25">
      <c r="A51" s="104" t="s">
        <v>55</v>
      </c>
      <c r="B51" s="62">
        <v>3</v>
      </c>
      <c r="C51" s="15">
        <v>1</v>
      </c>
      <c r="D51" s="15">
        <v>2</v>
      </c>
      <c r="E51" s="15">
        <v>1077</v>
      </c>
      <c r="F51" s="15">
        <v>588</v>
      </c>
      <c r="G51" s="15">
        <v>489</v>
      </c>
    </row>
    <row r="52" spans="1:7" s="1" customFormat="1" ht="10.5" customHeight="1" x14ac:dyDescent="0.25">
      <c r="A52" s="104" t="s">
        <v>54</v>
      </c>
      <c r="B52" s="62">
        <v>1</v>
      </c>
      <c r="C52" s="15">
        <v>0</v>
      </c>
      <c r="D52" s="15">
        <v>1</v>
      </c>
      <c r="E52" s="15">
        <v>2492</v>
      </c>
      <c r="F52" s="15">
        <v>1333</v>
      </c>
      <c r="G52" s="15">
        <v>1159</v>
      </c>
    </row>
    <row r="53" spans="1:7" s="1" customFormat="1" ht="10.5" customHeight="1" x14ac:dyDescent="0.25">
      <c r="A53" s="104" t="s">
        <v>53</v>
      </c>
      <c r="B53" s="62">
        <v>0</v>
      </c>
      <c r="C53" s="15">
        <v>0</v>
      </c>
      <c r="D53" s="15">
        <v>0</v>
      </c>
      <c r="E53" s="15">
        <v>494</v>
      </c>
      <c r="F53" s="15">
        <v>272</v>
      </c>
      <c r="G53" s="15">
        <v>222</v>
      </c>
    </row>
    <row r="54" spans="1:7" s="1" customFormat="1" ht="10.5" customHeight="1" x14ac:dyDescent="0.25">
      <c r="A54" s="104" t="s">
        <v>52</v>
      </c>
      <c r="B54" s="62">
        <v>49</v>
      </c>
      <c r="C54" s="15">
        <v>31</v>
      </c>
      <c r="D54" s="15">
        <v>18</v>
      </c>
      <c r="E54" s="15">
        <v>57403</v>
      </c>
      <c r="F54" s="15">
        <v>29966</v>
      </c>
      <c r="G54" s="15">
        <v>27437</v>
      </c>
    </row>
    <row r="55" spans="1:7" s="1" customFormat="1" ht="10.5" customHeight="1" x14ac:dyDescent="0.25">
      <c r="A55" s="104" t="s">
        <v>51</v>
      </c>
      <c r="B55" s="62">
        <v>574</v>
      </c>
      <c r="C55" s="15">
        <v>295</v>
      </c>
      <c r="D55" s="15">
        <v>279</v>
      </c>
      <c r="E55" s="15">
        <v>644244</v>
      </c>
      <c r="F55" s="15">
        <v>309143</v>
      </c>
      <c r="G55" s="15">
        <v>335101</v>
      </c>
    </row>
    <row r="56" spans="1:7" s="1" customFormat="1" ht="10.5" customHeight="1" x14ac:dyDescent="0.25">
      <c r="A56" s="51"/>
      <c r="B56" s="63"/>
      <c r="C56" s="88"/>
      <c r="D56" s="88"/>
      <c r="E56" s="88"/>
      <c r="F56" s="88"/>
      <c r="G56" s="88"/>
    </row>
    <row r="57" spans="1:7" s="1" customFormat="1" ht="10.5" customHeight="1" x14ac:dyDescent="0.25">
      <c r="A57" s="59" t="s">
        <v>31</v>
      </c>
      <c r="B57" s="60">
        <v>314</v>
      </c>
      <c r="C57" s="61">
        <v>171</v>
      </c>
      <c r="D57" s="61">
        <v>143</v>
      </c>
      <c r="E57" s="61">
        <v>84703</v>
      </c>
      <c r="F57" s="61">
        <v>44381</v>
      </c>
      <c r="G57" s="61">
        <v>40322</v>
      </c>
    </row>
    <row r="58" spans="1:7" s="1" customFormat="1" ht="10.5" customHeight="1" x14ac:dyDescent="0.25">
      <c r="A58" s="104" t="s">
        <v>55</v>
      </c>
      <c r="B58" s="62">
        <v>1</v>
      </c>
      <c r="C58" s="15">
        <v>1</v>
      </c>
      <c r="D58" s="15">
        <v>0</v>
      </c>
      <c r="E58" s="15">
        <v>149</v>
      </c>
      <c r="F58" s="15">
        <v>83</v>
      </c>
      <c r="G58" s="15">
        <v>66</v>
      </c>
    </row>
    <row r="59" spans="1:7" s="1" customFormat="1" ht="10.5" customHeight="1" x14ac:dyDescent="0.25">
      <c r="A59" s="104" t="s">
        <v>54</v>
      </c>
      <c r="B59" s="62">
        <v>0</v>
      </c>
      <c r="C59" s="15">
        <v>0</v>
      </c>
      <c r="D59" s="15">
        <v>0</v>
      </c>
      <c r="E59" s="15">
        <v>175</v>
      </c>
      <c r="F59" s="15">
        <v>81</v>
      </c>
      <c r="G59" s="15">
        <v>94</v>
      </c>
    </row>
    <row r="60" spans="1:7" s="1" customFormat="1" ht="10.5" customHeight="1" x14ac:dyDescent="0.25">
      <c r="A60" s="104" t="s">
        <v>53</v>
      </c>
      <c r="B60" s="62">
        <v>6</v>
      </c>
      <c r="C60" s="15">
        <v>3</v>
      </c>
      <c r="D60" s="15">
        <v>3</v>
      </c>
      <c r="E60" s="15">
        <v>128</v>
      </c>
      <c r="F60" s="15">
        <v>82</v>
      </c>
      <c r="G60" s="15">
        <v>46</v>
      </c>
    </row>
    <row r="61" spans="1:7" s="1" customFormat="1" ht="10.5" customHeight="1" x14ac:dyDescent="0.25">
      <c r="A61" s="104" t="s">
        <v>52</v>
      </c>
      <c r="B61" s="62">
        <v>37</v>
      </c>
      <c r="C61" s="15">
        <v>28</v>
      </c>
      <c r="D61" s="15">
        <v>9</v>
      </c>
      <c r="E61" s="15">
        <v>7708</v>
      </c>
      <c r="F61" s="15">
        <v>4235</v>
      </c>
      <c r="G61" s="15">
        <v>3473</v>
      </c>
    </row>
    <row r="62" spans="1:7" s="1" customFormat="1" ht="10.5" customHeight="1" x14ac:dyDescent="0.25">
      <c r="A62" s="104" t="s">
        <v>51</v>
      </c>
      <c r="B62" s="62">
        <v>270</v>
      </c>
      <c r="C62" s="15">
        <v>139</v>
      </c>
      <c r="D62" s="15">
        <v>131</v>
      </c>
      <c r="E62" s="15">
        <v>76543</v>
      </c>
      <c r="F62" s="15">
        <v>39900</v>
      </c>
      <c r="G62" s="15">
        <v>36643</v>
      </c>
    </row>
    <row r="63" spans="1:7" s="1" customFormat="1" ht="3.75" customHeight="1" thickBot="1" x14ac:dyDescent="0.3">
      <c r="A63" s="83"/>
      <c r="B63" s="73"/>
      <c r="C63" s="74"/>
      <c r="D63" s="75"/>
      <c r="E63" s="76"/>
      <c r="F63" s="76"/>
      <c r="G63" s="76"/>
    </row>
    <row r="64" spans="1:7" s="1" customFormat="1" ht="10.5" customHeight="1" x14ac:dyDescent="0.25">
      <c r="A64" s="48"/>
      <c r="B64" s="7"/>
      <c r="C64" s="7"/>
      <c r="D64" s="6"/>
      <c r="E64" s="28"/>
      <c r="F64" s="28"/>
      <c r="G64" s="7" t="s">
        <v>83</v>
      </c>
    </row>
    <row r="65" spans="1:7" ht="12.75" customHeight="1" x14ac:dyDescent="0.2">
      <c r="A65" s="205" t="str">
        <f>A$1</f>
        <v>CUADRO Nº 2.2</v>
      </c>
      <c r="B65" s="205"/>
      <c r="C65" s="205"/>
      <c r="D65" s="205"/>
      <c r="E65" s="205"/>
      <c r="F65" s="205"/>
      <c r="G65" s="205"/>
    </row>
    <row r="66" spans="1:7" ht="20.25" customHeight="1" x14ac:dyDescent="0.2">
      <c r="A66" s="206" t="str">
        <f>A$2</f>
        <v>PERÚ: POBLACIÓN CENSADA INDÍGENA U ORIGINARIA DE LA AMAZONÍA, BLANCA(O), MESTIZA(O) Y OTRA(O) DE 12 Y MÁS AÑOS DE EDAD, POR SEXO, SEGÚN TENENCIA DE DOCUMENTO NACIONAL DE IDENTIDAD, ÁREA DE RESIDENCIA Y DEPARTAMENTO, 2017</v>
      </c>
      <c r="B66" s="206"/>
      <c r="C66" s="206"/>
      <c r="D66" s="206"/>
      <c r="E66" s="206"/>
      <c r="F66" s="206"/>
      <c r="G66" s="206"/>
    </row>
    <row r="67" spans="1:7" ht="12.75" customHeight="1" x14ac:dyDescent="0.25">
      <c r="A67" s="215" t="str">
        <f>A$3</f>
        <v>(Cifras absolutas)</v>
      </c>
      <c r="B67" s="215"/>
      <c r="C67" s="215"/>
      <c r="D67" s="215"/>
      <c r="E67" s="215"/>
      <c r="F67" s="215"/>
      <c r="G67" s="215"/>
    </row>
    <row r="68" spans="1:7" ht="10.5" customHeight="1" thickBot="1" x14ac:dyDescent="0.25">
      <c r="A68" s="48"/>
      <c r="B68" s="48"/>
      <c r="C68" s="48"/>
      <c r="D68" s="48"/>
      <c r="E68" s="48"/>
      <c r="F68" s="48"/>
      <c r="G68" s="48"/>
    </row>
    <row r="69" spans="1:7" ht="12.75" customHeight="1" thickBot="1" x14ac:dyDescent="0.25">
      <c r="A69" s="216" t="str">
        <f>A$5</f>
        <v xml:space="preserve">Tenencia de documento nacional de identidad / Área de residencia y departamento </v>
      </c>
      <c r="B69" s="210" t="str">
        <f>B$5</f>
        <v>Indígena u originaria de la Amazonía</v>
      </c>
      <c r="C69" s="211"/>
      <c r="D69" s="212"/>
      <c r="E69" s="210" t="s">
        <v>116</v>
      </c>
      <c r="F69" s="211"/>
      <c r="G69" s="212"/>
    </row>
    <row r="70" spans="1:7" ht="12.75" customHeight="1" thickBot="1" x14ac:dyDescent="0.25">
      <c r="A70" s="217"/>
      <c r="B70" s="53" t="str">
        <f>B$6</f>
        <v>Total</v>
      </c>
      <c r="C70" s="54" t="str">
        <f t="shared" ref="C70:G70" si="0">C$6</f>
        <v>Hombre</v>
      </c>
      <c r="D70" s="55" t="str">
        <f t="shared" si="0"/>
        <v>Mujer</v>
      </c>
      <c r="E70" s="56" t="str">
        <f>E$6</f>
        <v>Total</v>
      </c>
      <c r="F70" s="56" t="str">
        <f t="shared" si="0"/>
        <v>Hombre</v>
      </c>
      <c r="G70" s="57" t="str">
        <f t="shared" si="0"/>
        <v>Mujer</v>
      </c>
    </row>
    <row r="71" spans="1:7" ht="3.75" customHeight="1" x14ac:dyDescent="0.25">
      <c r="A71" s="51"/>
      <c r="B71" s="102"/>
      <c r="C71" s="8"/>
      <c r="D71" s="8"/>
      <c r="E71" s="28"/>
      <c r="F71" s="28"/>
      <c r="G71" s="103"/>
    </row>
    <row r="72" spans="1:7" s="1" customFormat="1" ht="10.5" customHeight="1" x14ac:dyDescent="0.25">
      <c r="A72" s="59" t="s">
        <v>30</v>
      </c>
      <c r="B72" s="60">
        <v>1963</v>
      </c>
      <c r="C72" s="61">
        <v>955</v>
      </c>
      <c r="D72" s="61">
        <v>1008</v>
      </c>
      <c r="E72" s="61">
        <v>898798</v>
      </c>
      <c r="F72" s="61">
        <v>435186</v>
      </c>
      <c r="G72" s="61">
        <v>463612</v>
      </c>
    </row>
    <row r="73" spans="1:7" s="1" customFormat="1" ht="10.5" customHeight="1" x14ac:dyDescent="0.25">
      <c r="A73" s="104" t="s">
        <v>55</v>
      </c>
      <c r="B73" s="62">
        <v>17</v>
      </c>
      <c r="C73" s="15">
        <v>7</v>
      </c>
      <c r="D73" s="15">
        <v>10</v>
      </c>
      <c r="E73" s="15">
        <v>2669</v>
      </c>
      <c r="F73" s="15">
        <v>1201</v>
      </c>
      <c r="G73" s="15">
        <v>1468</v>
      </c>
    </row>
    <row r="74" spans="1:7" s="1" customFormat="1" ht="10.5" customHeight="1" x14ac:dyDescent="0.25">
      <c r="A74" s="104" t="s">
        <v>54</v>
      </c>
      <c r="B74" s="62">
        <v>1</v>
      </c>
      <c r="C74" s="15">
        <v>0</v>
      </c>
      <c r="D74" s="15">
        <v>1</v>
      </c>
      <c r="E74" s="15">
        <v>390</v>
      </c>
      <c r="F74" s="15">
        <v>176</v>
      </c>
      <c r="G74" s="15">
        <v>214</v>
      </c>
    </row>
    <row r="75" spans="1:7" s="1" customFormat="1" ht="10.5" customHeight="1" x14ac:dyDescent="0.25">
      <c r="A75" s="104" t="s">
        <v>53</v>
      </c>
      <c r="B75" s="62">
        <v>14</v>
      </c>
      <c r="C75" s="15">
        <v>0</v>
      </c>
      <c r="D75" s="15">
        <v>14</v>
      </c>
      <c r="E75" s="15">
        <v>2514</v>
      </c>
      <c r="F75" s="15">
        <v>937</v>
      </c>
      <c r="G75" s="15">
        <v>1577</v>
      </c>
    </row>
    <row r="76" spans="1:7" s="1" customFormat="1" ht="10.5" customHeight="1" x14ac:dyDescent="0.25">
      <c r="A76" s="104" t="s">
        <v>52</v>
      </c>
      <c r="B76" s="62">
        <v>161</v>
      </c>
      <c r="C76" s="15">
        <v>85</v>
      </c>
      <c r="D76" s="15">
        <v>76</v>
      </c>
      <c r="E76" s="15">
        <v>85379</v>
      </c>
      <c r="F76" s="15">
        <v>43204</v>
      </c>
      <c r="G76" s="15">
        <v>42175</v>
      </c>
    </row>
    <row r="77" spans="1:7" s="1" customFormat="1" ht="10.5" customHeight="1" x14ac:dyDescent="0.25">
      <c r="A77" s="104" t="s">
        <v>51</v>
      </c>
      <c r="B77" s="62">
        <v>1770</v>
      </c>
      <c r="C77" s="15">
        <v>863</v>
      </c>
      <c r="D77" s="15">
        <v>907</v>
      </c>
      <c r="E77" s="15">
        <v>807846</v>
      </c>
      <c r="F77" s="15">
        <v>389668</v>
      </c>
      <c r="G77" s="15">
        <v>418178</v>
      </c>
    </row>
    <row r="78" spans="1:7" s="1" customFormat="1" ht="10.5" customHeight="1" x14ac:dyDescent="0.25">
      <c r="A78" s="51"/>
      <c r="B78" s="63"/>
      <c r="C78" s="88"/>
      <c r="D78" s="88"/>
      <c r="E78" s="88"/>
      <c r="F78" s="88"/>
      <c r="G78" s="88"/>
    </row>
    <row r="79" spans="1:7" s="1" customFormat="1" ht="10.5" customHeight="1" x14ac:dyDescent="0.25">
      <c r="A79" s="89" t="s">
        <v>29</v>
      </c>
      <c r="B79" s="60">
        <v>1501</v>
      </c>
      <c r="C79" s="61">
        <v>684</v>
      </c>
      <c r="D79" s="61">
        <v>817</v>
      </c>
      <c r="E79" s="61">
        <v>672667</v>
      </c>
      <c r="F79" s="61">
        <v>323007</v>
      </c>
      <c r="G79" s="61">
        <v>349660</v>
      </c>
    </row>
    <row r="80" spans="1:7" s="1" customFormat="1" ht="10.5" customHeight="1" x14ac:dyDescent="0.25">
      <c r="A80" s="104" t="s">
        <v>55</v>
      </c>
      <c r="B80" s="62">
        <v>5</v>
      </c>
      <c r="C80" s="15">
        <v>2</v>
      </c>
      <c r="D80" s="15">
        <v>3</v>
      </c>
      <c r="E80" s="15">
        <v>1573</v>
      </c>
      <c r="F80" s="15">
        <v>801</v>
      </c>
      <c r="G80" s="15">
        <v>772</v>
      </c>
    </row>
    <row r="81" spans="1:7" s="1" customFormat="1" ht="10.5" customHeight="1" x14ac:dyDescent="0.25">
      <c r="A81" s="104" t="s">
        <v>54</v>
      </c>
      <c r="B81" s="62">
        <v>2</v>
      </c>
      <c r="C81" s="15">
        <v>1</v>
      </c>
      <c r="D81" s="15">
        <v>1</v>
      </c>
      <c r="E81" s="15">
        <v>4142</v>
      </c>
      <c r="F81" s="15">
        <v>2234</v>
      </c>
      <c r="G81" s="15">
        <v>1908</v>
      </c>
    </row>
    <row r="82" spans="1:7" s="1" customFormat="1" ht="10.5" customHeight="1" x14ac:dyDescent="0.25">
      <c r="A82" s="104" t="s">
        <v>53</v>
      </c>
      <c r="B82" s="62">
        <v>1</v>
      </c>
      <c r="C82" s="15">
        <v>1</v>
      </c>
      <c r="D82" s="15">
        <v>0</v>
      </c>
      <c r="E82" s="15">
        <v>728</v>
      </c>
      <c r="F82" s="15">
        <v>409</v>
      </c>
      <c r="G82" s="15">
        <v>319</v>
      </c>
    </row>
    <row r="83" spans="1:7" s="1" customFormat="1" ht="10.5" customHeight="1" x14ac:dyDescent="0.25">
      <c r="A83" s="104" t="s">
        <v>52</v>
      </c>
      <c r="B83" s="62">
        <v>95</v>
      </c>
      <c r="C83" s="15">
        <v>49</v>
      </c>
      <c r="D83" s="15">
        <v>46</v>
      </c>
      <c r="E83" s="15">
        <v>51898</v>
      </c>
      <c r="F83" s="15">
        <v>25948</v>
      </c>
      <c r="G83" s="15">
        <v>25950</v>
      </c>
    </row>
    <row r="84" spans="1:7" s="1" customFormat="1" ht="10.5" customHeight="1" x14ac:dyDescent="0.25">
      <c r="A84" s="104" t="s">
        <v>51</v>
      </c>
      <c r="B84" s="62">
        <v>1398</v>
      </c>
      <c r="C84" s="15">
        <v>631</v>
      </c>
      <c r="D84" s="15">
        <v>767</v>
      </c>
      <c r="E84" s="15">
        <v>614326</v>
      </c>
      <c r="F84" s="15">
        <v>293615</v>
      </c>
      <c r="G84" s="15">
        <v>320711</v>
      </c>
    </row>
    <row r="85" spans="1:7" s="1" customFormat="1" ht="10.5" customHeight="1" x14ac:dyDescent="0.25">
      <c r="A85" s="51"/>
      <c r="B85" s="63"/>
      <c r="C85" s="88"/>
      <c r="D85" s="88"/>
      <c r="E85" s="88"/>
      <c r="F85" s="88"/>
      <c r="G85" s="88"/>
    </row>
    <row r="86" spans="1:7" s="1" customFormat="1" ht="10.5" customHeight="1" x14ac:dyDescent="0.25">
      <c r="A86" s="59" t="s">
        <v>28</v>
      </c>
      <c r="B86" s="60">
        <v>6969</v>
      </c>
      <c r="C86" s="61">
        <v>3473</v>
      </c>
      <c r="D86" s="61">
        <v>3496</v>
      </c>
      <c r="E86" s="61">
        <v>225050</v>
      </c>
      <c r="F86" s="61">
        <v>113151</v>
      </c>
      <c r="G86" s="61">
        <v>111899</v>
      </c>
    </row>
    <row r="87" spans="1:7" s="1" customFormat="1" ht="10.5" customHeight="1" x14ac:dyDescent="0.25">
      <c r="A87" s="104" t="s">
        <v>55</v>
      </c>
      <c r="B87" s="62">
        <v>69</v>
      </c>
      <c r="C87" s="15">
        <v>31</v>
      </c>
      <c r="D87" s="15">
        <v>38</v>
      </c>
      <c r="E87" s="15">
        <v>399</v>
      </c>
      <c r="F87" s="15">
        <v>209</v>
      </c>
      <c r="G87" s="15">
        <v>190</v>
      </c>
    </row>
    <row r="88" spans="1:7" s="1" customFormat="1" ht="10.5" customHeight="1" x14ac:dyDescent="0.25">
      <c r="A88" s="104" t="s">
        <v>54</v>
      </c>
      <c r="B88" s="62">
        <v>3</v>
      </c>
      <c r="C88" s="15">
        <v>1</v>
      </c>
      <c r="D88" s="15">
        <v>2</v>
      </c>
      <c r="E88" s="15">
        <v>2238</v>
      </c>
      <c r="F88" s="15">
        <v>1084</v>
      </c>
      <c r="G88" s="15">
        <v>1154</v>
      </c>
    </row>
    <row r="89" spans="1:7" s="1" customFormat="1" ht="10.5" customHeight="1" x14ac:dyDescent="0.25">
      <c r="A89" s="104" t="s">
        <v>53</v>
      </c>
      <c r="B89" s="62">
        <v>151</v>
      </c>
      <c r="C89" s="15">
        <v>67</v>
      </c>
      <c r="D89" s="15">
        <v>84</v>
      </c>
      <c r="E89" s="15">
        <v>396</v>
      </c>
      <c r="F89" s="15">
        <v>207</v>
      </c>
      <c r="G89" s="15">
        <v>189</v>
      </c>
    </row>
    <row r="90" spans="1:7" s="1" customFormat="1" ht="10.5" customHeight="1" x14ac:dyDescent="0.25">
      <c r="A90" s="104" t="s">
        <v>52</v>
      </c>
      <c r="B90" s="62">
        <v>811</v>
      </c>
      <c r="C90" s="15">
        <v>425</v>
      </c>
      <c r="D90" s="15">
        <v>386</v>
      </c>
      <c r="E90" s="15">
        <v>21928</v>
      </c>
      <c r="F90" s="15">
        <v>11686</v>
      </c>
      <c r="G90" s="15">
        <v>10242</v>
      </c>
    </row>
    <row r="91" spans="1:7" s="1" customFormat="1" ht="10.5" customHeight="1" x14ac:dyDescent="0.25">
      <c r="A91" s="104" t="s">
        <v>51</v>
      </c>
      <c r="B91" s="62">
        <v>5935</v>
      </c>
      <c r="C91" s="15">
        <v>2949</v>
      </c>
      <c r="D91" s="15">
        <v>2986</v>
      </c>
      <c r="E91" s="15">
        <v>200089</v>
      </c>
      <c r="F91" s="15">
        <v>99965</v>
      </c>
      <c r="G91" s="15">
        <v>100124</v>
      </c>
    </row>
    <row r="92" spans="1:7" s="1" customFormat="1" ht="10.5" customHeight="1" x14ac:dyDescent="0.25">
      <c r="A92" s="50"/>
      <c r="B92" s="63"/>
      <c r="C92" s="88"/>
      <c r="D92" s="88"/>
      <c r="E92" s="88"/>
      <c r="F92" s="88"/>
      <c r="G92" s="88"/>
    </row>
    <row r="93" spans="1:7" s="1" customFormat="1" ht="10.5" customHeight="1" x14ac:dyDescent="0.25">
      <c r="A93" s="59" t="s">
        <v>27</v>
      </c>
      <c r="B93" s="60">
        <v>48</v>
      </c>
      <c r="C93" s="61">
        <v>24</v>
      </c>
      <c r="D93" s="61">
        <v>24</v>
      </c>
      <c r="E93" s="61">
        <v>50752</v>
      </c>
      <c r="F93" s="61">
        <v>25671</v>
      </c>
      <c r="G93" s="61">
        <v>25081</v>
      </c>
    </row>
    <row r="94" spans="1:7" s="1" customFormat="1" ht="10.5" customHeight="1" x14ac:dyDescent="0.25">
      <c r="A94" s="104" t="s">
        <v>55</v>
      </c>
      <c r="B94" s="62">
        <v>0</v>
      </c>
      <c r="C94" s="15">
        <v>0</v>
      </c>
      <c r="D94" s="15">
        <v>0</v>
      </c>
      <c r="E94" s="15">
        <v>72</v>
      </c>
      <c r="F94" s="15">
        <v>34</v>
      </c>
      <c r="G94" s="15">
        <v>38</v>
      </c>
    </row>
    <row r="95" spans="1:7" s="1" customFormat="1" ht="10.5" customHeight="1" x14ac:dyDescent="0.25">
      <c r="A95" s="104" t="s">
        <v>54</v>
      </c>
      <c r="B95" s="62">
        <v>0</v>
      </c>
      <c r="C95" s="15">
        <v>0</v>
      </c>
      <c r="D95" s="15">
        <v>0</v>
      </c>
      <c r="E95" s="15">
        <v>55</v>
      </c>
      <c r="F95" s="15">
        <v>43</v>
      </c>
      <c r="G95" s="15">
        <v>12</v>
      </c>
    </row>
    <row r="96" spans="1:7" s="1" customFormat="1" ht="10.5" customHeight="1" x14ac:dyDescent="0.25">
      <c r="A96" s="104" t="s">
        <v>53</v>
      </c>
      <c r="B96" s="62">
        <v>0</v>
      </c>
      <c r="C96" s="15">
        <v>0</v>
      </c>
      <c r="D96" s="15">
        <v>0</v>
      </c>
      <c r="E96" s="15">
        <v>54</v>
      </c>
      <c r="F96" s="15">
        <v>25</v>
      </c>
      <c r="G96" s="15">
        <v>29</v>
      </c>
    </row>
    <row r="97" spans="1:7" s="1" customFormat="1" ht="10.5" customHeight="1" x14ac:dyDescent="0.25">
      <c r="A97" s="104" t="s">
        <v>52</v>
      </c>
      <c r="B97" s="62">
        <v>1</v>
      </c>
      <c r="C97" s="15">
        <v>1</v>
      </c>
      <c r="D97" s="15">
        <v>0</v>
      </c>
      <c r="E97" s="15">
        <v>4737</v>
      </c>
      <c r="F97" s="15">
        <v>2528</v>
      </c>
      <c r="G97" s="15">
        <v>2209</v>
      </c>
    </row>
    <row r="98" spans="1:7" s="1" customFormat="1" ht="10.5" customHeight="1" x14ac:dyDescent="0.25">
      <c r="A98" s="104" t="s">
        <v>51</v>
      </c>
      <c r="B98" s="62">
        <v>47</v>
      </c>
      <c r="C98" s="15">
        <v>23</v>
      </c>
      <c r="D98" s="15">
        <v>24</v>
      </c>
      <c r="E98" s="15">
        <v>45834</v>
      </c>
      <c r="F98" s="15">
        <v>23041</v>
      </c>
      <c r="G98" s="15">
        <v>22793</v>
      </c>
    </row>
    <row r="99" spans="1:7" s="1" customFormat="1" ht="10.5" customHeight="1" x14ac:dyDescent="0.25">
      <c r="A99" s="50"/>
      <c r="B99" s="63"/>
      <c r="C99" s="88"/>
      <c r="D99" s="88"/>
      <c r="E99" s="88"/>
      <c r="F99" s="88"/>
      <c r="G99" s="88"/>
    </row>
    <row r="100" spans="1:7" s="1" customFormat="1" ht="10.5" customHeight="1" x14ac:dyDescent="0.25">
      <c r="A100" s="59" t="s">
        <v>26</v>
      </c>
      <c r="B100" s="60">
        <v>2211</v>
      </c>
      <c r="C100" s="61">
        <v>1090</v>
      </c>
      <c r="D100" s="61">
        <v>1121</v>
      </c>
      <c r="E100" s="61">
        <v>298719</v>
      </c>
      <c r="F100" s="61">
        <v>148483</v>
      </c>
      <c r="G100" s="61">
        <v>150236</v>
      </c>
    </row>
    <row r="101" spans="1:7" s="1" customFormat="1" ht="10.5" customHeight="1" x14ac:dyDescent="0.25">
      <c r="A101" s="104" t="s">
        <v>55</v>
      </c>
      <c r="B101" s="62">
        <v>15</v>
      </c>
      <c r="C101" s="15">
        <v>9</v>
      </c>
      <c r="D101" s="15">
        <v>6</v>
      </c>
      <c r="E101" s="15">
        <v>768</v>
      </c>
      <c r="F101" s="15">
        <v>410</v>
      </c>
      <c r="G101" s="15">
        <v>358</v>
      </c>
    </row>
    <row r="102" spans="1:7" s="1" customFormat="1" ht="10.5" customHeight="1" x14ac:dyDescent="0.25">
      <c r="A102" s="104" t="s">
        <v>54</v>
      </c>
      <c r="B102" s="62">
        <v>1</v>
      </c>
      <c r="C102" s="15">
        <v>1</v>
      </c>
      <c r="D102" s="15">
        <v>0</v>
      </c>
      <c r="E102" s="15">
        <v>252</v>
      </c>
      <c r="F102" s="15">
        <v>137</v>
      </c>
      <c r="G102" s="15">
        <v>115</v>
      </c>
    </row>
    <row r="103" spans="1:7" s="1" customFormat="1" ht="10.5" customHeight="1" x14ac:dyDescent="0.25">
      <c r="A103" s="104" t="s">
        <v>53</v>
      </c>
      <c r="B103" s="62">
        <v>38</v>
      </c>
      <c r="C103" s="15">
        <v>18</v>
      </c>
      <c r="D103" s="15">
        <v>20</v>
      </c>
      <c r="E103" s="15">
        <v>756</v>
      </c>
      <c r="F103" s="15">
        <v>410</v>
      </c>
      <c r="G103" s="15">
        <v>346</v>
      </c>
    </row>
    <row r="104" spans="1:7" s="1" customFormat="1" ht="10.5" customHeight="1" x14ac:dyDescent="0.25">
      <c r="A104" s="104" t="s">
        <v>52</v>
      </c>
      <c r="B104" s="62">
        <v>242</v>
      </c>
      <c r="C104" s="15">
        <v>133</v>
      </c>
      <c r="D104" s="15">
        <v>109</v>
      </c>
      <c r="E104" s="15">
        <v>29569</v>
      </c>
      <c r="F104" s="15">
        <v>15642</v>
      </c>
      <c r="G104" s="15">
        <v>13927</v>
      </c>
    </row>
    <row r="105" spans="1:7" s="1" customFormat="1" ht="10.5" customHeight="1" x14ac:dyDescent="0.25">
      <c r="A105" s="104" t="s">
        <v>51</v>
      </c>
      <c r="B105" s="62">
        <v>1915</v>
      </c>
      <c r="C105" s="15">
        <v>929</v>
      </c>
      <c r="D105" s="15">
        <v>986</v>
      </c>
      <c r="E105" s="15">
        <v>267374</v>
      </c>
      <c r="F105" s="15">
        <v>131884</v>
      </c>
      <c r="G105" s="15">
        <v>135490</v>
      </c>
    </row>
    <row r="106" spans="1:7" s="1" customFormat="1" ht="10.5" customHeight="1" x14ac:dyDescent="0.25">
      <c r="A106" s="50"/>
      <c r="B106" s="63"/>
      <c r="C106" s="88"/>
      <c r="D106" s="88"/>
      <c r="E106" s="88"/>
      <c r="F106" s="88"/>
      <c r="G106" s="88"/>
    </row>
    <row r="107" spans="1:7" s="1" customFormat="1" ht="10.5" customHeight="1" x14ac:dyDescent="0.25">
      <c r="A107" s="59" t="s">
        <v>25</v>
      </c>
      <c r="B107" s="60">
        <v>833</v>
      </c>
      <c r="C107" s="61">
        <v>447</v>
      </c>
      <c r="D107" s="61">
        <v>386</v>
      </c>
      <c r="E107" s="61">
        <v>530691</v>
      </c>
      <c r="F107" s="61">
        <v>257973</v>
      </c>
      <c r="G107" s="61">
        <v>272718</v>
      </c>
    </row>
    <row r="108" spans="1:7" s="1" customFormat="1" ht="10.5" customHeight="1" x14ac:dyDescent="0.25">
      <c r="A108" s="104" t="s">
        <v>55</v>
      </c>
      <c r="B108" s="62">
        <v>4</v>
      </c>
      <c r="C108" s="15">
        <v>2</v>
      </c>
      <c r="D108" s="15">
        <v>2</v>
      </c>
      <c r="E108" s="15">
        <v>1190</v>
      </c>
      <c r="F108" s="15">
        <v>671</v>
      </c>
      <c r="G108" s="15">
        <v>519</v>
      </c>
    </row>
    <row r="109" spans="1:7" s="1" customFormat="1" ht="10.5" customHeight="1" x14ac:dyDescent="0.25">
      <c r="A109" s="104" t="s">
        <v>54</v>
      </c>
      <c r="B109" s="62">
        <v>0</v>
      </c>
      <c r="C109" s="15">
        <v>0</v>
      </c>
      <c r="D109" s="15">
        <v>0</v>
      </c>
      <c r="E109" s="15">
        <v>1012</v>
      </c>
      <c r="F109" s="15">
        <v>576</v>
      </c>
      <c r="G109" s="15">
        <v>436</v>
      </c>
    </row>
    <row r="110" spans="1:7" s="1" customFormat="1" ht="10.5" customHeight="1" x14ac:dyDescent="0.25">
      <c r="A110" s="104" t="s">
        <v>53</v>
      </c>
      <c r="B110" s="62">
        <v>2</v>
      </c>
      <c r="C110" s="15">
        <v>1</v>
      </c>
      <c r="D110" s="15">
        <v>1</v>
      </c>
      <c r="E110" s="15">
        <v>594</v>
      </c>
      <c r="F110" s="15">
        <v>377</v>
      </c>
      <c r="G110" s="15">
        <v>217</v>
      </c>
    </row>
    <row r="111" spans="1:7" s="1" customFormat="1" ht="10.5" customHeight="1" x14ac:dyDescent="0.25">
      <c r="A111" s="104" t="s">
        <v>52</v>
      </c>
      <c r="B111" s="62">
        <v>74</v>
      </c>
      <c r="C111" s="15">
        <v>42</v>
      </c>
      <c r="D111" s="15">
        <v>32</v>
      </c>
      <c r="E111" s="15">
        <v>41911</v>
      </c>
      <c r="F111" s="15">
        <v>21826</v>
      </c>
      <c r="G111" s="15">
        <v>20085</v>
      </c>
    </row>
    <row r="112" spans="1:7" s="1" customFormat="1" ht="10.5" customHeight="1" x14ac:dyDescent="0.25">
      <c r="A112" s="104" t="s">
        <v>51</v>
      </c>
      <c r="B112" s="62">
        <v>753</v>
      </c>
      <c r="C112" s="15">
        <v>402</v>
      </c>
      <c r="D112" s="15">
        <v>351</v>
      </c>
      <c r="E112" s="15">
        <v>485984</v>
      </c>
      <c r="F112" s="15">
        <v>234523</v>
      </c>
      <c r="G112" s="15">
        <v>251461</v>
      </c>
    </row>
    <row r="113" spans="1:7" s="1" customFormat="1" ht="10.5" customHeight="1" x14ac:dyDescent="0.25">
      <c r="A113" s="51"/>
      <c r="B113" s="63"/>
      <c r="C113" s="88"/>
      <c r="D113" s="88"/>
      <c r="E113" s="88"/>
      <c r="F113" s="88"/>
      <c r="G113" s="88"/>
    </row>
    <row r="114" spans="1:7" s="1" customFormat="1" ht="10.5" customHeight="1" x14ac:dyDescent="0.25">
      <c r="A114" s="59" t="s">
        <v>24</v>
      </c>
      <c r="B114" s="60">
        <v>35920</v>
      </c>
      <c r="C114" s="61">
        <v>17891</v>
      </c>
      <c r="D114" s="61">
        <v>18029</v>
      </c>
      <c r="E114" s="61">
        <v>582274</v>
      </c>
      <c r="F114" s="61">
        <v>282092</v>
      </c>
      <c r="G114" s="61">
        <v>300182</v>
      </c>
    </row>
    <row r="115" spans="1:7" s="1" customFormat="1" ht="10.5" customHeight="1" x14ac:dyDescent="0.25">
      <c r="A115" s="104" t="s">
        <v>55</v>
      </c>
      <c r="B115" s="62">
        <v>506</v>
      </c>
      <c r="C115" s="15">
        <v>225</v>
      </c>
      <c r="D115" s="15">
        <v>281</v>
      </c>
      <c r="E115" s="15">
        <v>1563</v>
      </c>
      <c r="F115" s="15">
        <v>782</v>
      </c>
      <c r="G115" s="15">
        <v>781</v>
      </c>
    </row>
    <row r="116" spans="1:7" s="1" customFormat="1" ht="10.5" customHeight="1" x14ac:dyDescent="0.25">
      <c r="A116" s="104" t="s">
        <v>54</v>
      </c>
      <c r="B116" s="62">
        <v>4</v>
      </c>
      <c r="C116" s="15">
        <v>3</v>
      </c>
      <c r="D116" s="15">
        <v>1</v>
      </c>
      <c r="E116" s="15">
        <v>547</v>
      </c>
      <c r="F116" s="15">
        <v>297</v>
      </c>
      <c r="G116" s="15">
        <v>250</v>
      </c>
    </row>
    <row r="117" spans="1:7" s="1" customFormat="1" ht="10.5" customHeight="1" x14ac:dyDescent="0.25">
      <c r="A117" s="104" t="s">
        <v>53</v>
      </c>
      <c r="B117" s="62">
        <v>651</v>
      </c>
      <c r="C117" s="15">
        <v>290</v>
      </c>
      <c r="D117" s="15">
        <v>361</v>
      </c>
      <c r="E117" s="15">
        <v>1150</v>
      </c>
      <c r="F117" s="15">
        <v>532</v>
      </c>
      <c r="G117" s="15">
        <v>618</v>
      </c>
    </row>
    <row r="118" spans="1:7" s="1" customFormat="1" ht="10.5" customHeight="1" x14ac:dyDescent="0.25">
      <c r="A118" s="104" t="s">
        <v>52</v>
      </c>
      <c r="B118" s="62">
        <v>4325</v>
      </c>
      <c r="C118" s="15">
        <v>2156</v>
      </c>
      <c r="D118" s="15">
        <v>2169</v>
      </c>
      <c r="E118" s="15">
        <v>55233</v>
      </c>
      <c r="F118" s="15">
        <v>28908</v>
      </c>
      <c r="G118" s="15">
        <v>26325</v>
      </c>
    </row>
    <row r="119" spans="1:7" s="1" customFormat="1" ht="10.5" customHeight="1" x14ac:dyDescent="0.25">
      <c r="A119" s="104" t="s">
        <v>51</v>
      </c>
      <c r="B119" s="62">
        <v>30434</v>
      </c>
      <c r="C119" s="15">
        <v>15217</v>
      </c>
      <c r="D119" s="15">
        <v>15217</v>
      </c>
      <c r="E119" s="15">
        <v>523781</v>
      </c>
      <c r="F119" s="15">
        <v>251573</v>
      </c>
      <c r="G119" s="15">
        <v>272208</v>
      </c>
    </row>
    <row r="120" spans="1:7" s="1" customFormat="1" ht="10.5" customHeight="1" x14ac:dyDescent="0.25">
      <c r="A120" s="51"/>
      <c r="B120" s="63"/>
      <c r="C120" s="88"/>
      <c r="D120" s="88"/>
      <c r="E120" s="88"/>
      <c r="F120" s="88"/>
      <c r="G120" s="88"/>
    </row>
    <row r="121" spans="1:7" s="1" customFormat="1" ht="10.5" customHeight="1" x14ac:dyDescent="0.25">
      <c r="A121" s="59" t="s">
        <v>23</v>
      </c>
      <c r="B121" s="60">
        <v>806</v>
      </c>
      <c r="C121" s="61">
        <v>423</v>
      </c>
      <c r="D121" s="61">
        <v>383</v>
      </c>
      <c r="E121" s="61">
        <v>1233787</v>
      </c>
      <c r="F121" s="61">
        <v>588946</v>
      </c>
      <c r="G121" s="61">
        <v>644841</v>
      </c>
    </row>
    <row r="122" spans="1:7" s="1" customFormat="1" ht="10.5" customHeight="1" x14ac:dyDescent="0.25">
      <c r="A122" s="104" t="s">
        <v>55</v>
      </c>
      <c r="B122" s="62">
        <v>3</v>
      </c>
      <c r="C122" s="15">
        <v>0</v>
      </c>
      <c r="D122" s="15">
        <v>3</v>
      </c>
      <c r="E122" s="15">
        <v>3860</v>
      </c>
      <c r="F122" s="15">
        <v>1883</v>
      </c>
      <c r="G122" s="15">
        <v>1977</v>
      </c>
    </row>
    <row r="123" spans="1:7" s="1" customFormat="1" ht="10.5" customHeight="1" x14ac:dyDescent="0.25">
      <c r="A123" s="104" t="s">
        <v>54</v>
      </c>
      <c r="B123" s="62">
        <v>0</v>
      </c>
      <c r="C123" s="15">
        <v>0</v>
      </c>
      <c r="D123" s="15">
        <v>0</v>
      </c>
      <c r="E123" s="15">
        <v>2186</v>
      </c>
      <c r="F123" s="15">
        <v>1146</v>
      </c>
      <c r="G123" s="15">
        <v>1040</v>
      </c>
    </row>
    <row r="124" spans="1:7" s="1" customFormat="1" ht="10.5" customHeight="1" x14ac:dyDescent="0.25">
      <c r="A124" s="104" t="s">
        <v>53</v>
      </c>
      <c r="B124" s="62">
        <v>2</v>
      </c>
      <c r="C124" s="15">
        <v>0</v>
      </c>
      <c r="D124" s="15">
        <v>2</v>
      </c>
      <c r="E124" s="15">
        <v>3109</v>
      </c>
      <c r="F124" s="15">
        <v>1293</v>
      </c>
      <c r="G124" s="15">
        <v>1816</v>
      </c>
    </row>
    <row r="125" spans="1:7" s="1" customFormat="1" ht="10.5" customHeight="1" x14ac:dyDescent="0.25">
      <c r="A125" s="104" t="s">
        <v>52</v>
      </c>
      <c r="B125" s="62">
        <v>41</v>
      </c>
      <c r="C125" s="15">
        <v>24</v>
      </c>
      <c r="D125" s="15">
        <v>17</v>
      </c>
      <c r="E125" s="15">
        <v>96456</v>
      </c>
      <c r="F125" s="15">
        <v>48928</v>
      </c>
      <c r="G125" s="15">
        <v>47528</v>
      </c>
    </row>
    <row r="126" spans="1:7" s="1" customFormat="1" ht="10.5" customHeight="1" x14ac:dyDescent="0.25">
      <c r="A126" s="104" t="s">
        <v>51</v>
      </c>
      <c r="B126" s="62">
        <v>760</v>
      </c>
      <c r="C126" s="15">
        <v>399</v>
      </c>
      <c r="D126" s="15">
        <v>361</v>
      </c>
      <c r="E126" s="15">
        <v>1128176</v>
      </c>
      <c r="F126" s="15">
        <v>535696</v>
      </c>
      <c r="G126" s="15">
        <v>592480</v>
      </c>
    </row>
    <row r="127" spans="1:7" s="1" customFormat="1" ht="3.75" customHeight="1" thickBot="1" x14ac:dyDescent="0.3">
      <c r="A127" s="83"/>
      <c r="B127" s="73"/>
      <c r="C127" s="74"/>
      <c r="D127" s="75"/>
      <c r="E127" s="76"/>
      <c r="F127" s="76"/>
      <c r="G127" s="76"/>
    </row>
    <row r="128" spans="1:7" s="1" customFormat="1" ht="10.5" customHeight="1" x14ac:dyDescent="0.25">
      <c r="A128" s="48"/>
      <c r="B128" s="7"/>
      <c r="C128" s="7"/>
      <c r="D128" s="6"/>
      <c r="E128" s="28"/>
      <c r="F128" s="28"/>
      <c r="G128" s="7" t="s">
        <v>83</v>
      </c>
    </row>
    <row r="129" spans="1:7" ht="12.75" customHeight="1" x14ac:dyDescent="0.2">
      <c r="A129" s="205" t="str">
        <f>A$1</f>
        <v>CUADRO Nº 2.2</v>
      </c>
      <c r="B129" s="205"/>
      <c r="C129" s="205"/>
      <c r="D129" s="205"/>
      <c r="E129" s="205"/>
      <c r="F129" s="205"/>
      <c r="G129" s="205"/>
    </row>
    <row r="130" spans="1:7" ht="20.25" customHeight="1" x14ac:dyDescent="0.2">
      <c r="A130" s="206" t="str">
        <f>A$2</f>
        <v>PERÚ: POBLACIÓN CENSADA INDÍGENA U ORIGINARIA DE LA AMAZONÍA, BLANCA(O), MESTIZA(O) Y OTRA(O) DE 12 Y MÁS AÑOS DE EDAD, POR SEXO, SEGÚN TENENCIA DE DOCUMENTO NACIONAL DE IDENTIDAD, ÁREA DE RESIDENCIA Y DEPARTAMENTO, 2017</v>
      </c>
      <c r="B130" s="206"/>
      <c r="C130" s="206"/>
      <c r="D130" s="206"/>
      <c r="E130" s="206"/>
      <c r="F130" s="206"/>
      <c r="G130" s="206"/>
    </row>
    <row r="131" spans="1:7" ht="12.75" customHeight="1" x14ac:dyDescent="0.25">
      <c r="A131" s="215" t="str">
        <f>A$3</f>
        <v>(Cifras absolutas)</v>
      </c>
      <c r="B131" s="215"/>
      <c r="C131" s="215"/>
      <c r="D131" s="215"/>
      <c r="E131" s="215"/>
      <c r="F131" s="215"/>
      <c r="G131" s="215"/>
    </row>
    <row r="132" spans="1:7" ht="10.5" customHeight="1" thickBot="1" x14ac:dyDescent="0.25">
      <c r="A132" s="48"/>
      <c r="B132" s="48"/>
      <c r="C132" s="48"/>
      <c r="D132" s="48"/>
      <c r="E132" s="48"/>
      <c r="F132" s="48"/>
      <c r="G132" s="48"/>
    </row>
    <row r="133" spans="1:7" ht="12.75" customHeight="1" thickBot="1" x14ac:dyDescent="0.25">
      <c r="A133" s="216" t="str">
        <f>A$5</f>
        <v xml:space="preserve">Tenencia de documento nacional de identidad / Área de residencia y departamento </v>
      </c>
      <c r="B133" s="210" t="str">
        <f>B$5</f>
        <v>Indígena u originaria de la Amazonía</v>
      </c>
      <c r="C133" s="211"/>
      <c r="D133" s="212"/>
      <c r="E133" s="210" t="s">
        <v>116</v>
      </c>
      <c r="F133" s="211"/>
      <c r="G133" s="212"/>
    </row>
    <row r="134" spans="1:7" ht="12.75" customHeight="1" thickBot="1" x14ac:dyDescent="0.25">
      <c r="A134" s="217"/>
      <c r="B134" s="53" t="str">
        <f>B$6</f>
        <v>Total</v>
      </c>
      <c r="C134" s="54" t="str">
        <f t="shared" ref="C134:G134" si="1">C$6</f>
        <v>Hombre</v>
      </c>
      <c r="D134" s="55" t="str">
        <f t="shared" si="1"/>
        <v>Mujer</v>
      </c>
      <c r="E134" s="56" t="str">
        <f>E$6</f>
        <v>Total</v>
      </c>
      <c r="F134" s="56" t="str">
        <f t="shared" si="1"/>
        <v>Hombre</v>
      </c>
      <c r="G134" s="57" t="str">
        <f t="shared" si="1"/>
        <v>Mujer</v>
      </c>
    </row>
    <row r="135" spans="1:7" ht="3.75" customHeight="1" x14ac:dyDescent="0.25">
      <c r="A135" s="51"/>
      <c r="B135" s="102"/>
      <c r="C135" s="8"/>
      <c r="D135" s="8"/>
      <c r="E135" s="28"/>
      <c r="F135" s="28"/>
      <c r="G135" s="103"/>
    </row>
    <row r="136" spans="1:7" s="1" customFormat="1" ht="10.5" customHeight="1" x14ac:dyDescent="0.25">
      <c r="A136" s="59" t="s">
        <v>22</v>
      </c>
      <c r="B136" s="60">
        <v>700</v>
      </c>
      <c r="C136" s="61">
        <v>313</v>
      </c>
      <c r="D136" s="61">
        <v>387</v>
      </c>
      <c r="E136" s="61">
        <v>815454</v>
      </c>
      <c r="F136" s="61">
        <v>384763</v>
      </c>
      <c r="G136" s="61">
        <v>430691</v>
      </c>
    </row>
    <row r="137" spans="1:7" s="1" customFormat="1" ht="10.5" customHeight="1" x14ac:dyDescent="0.25">
      <c r="A137" s="104" t="s">
        <v>55</v>
      </c>
      <c r="B137" s="62">
        <v>5</v>
      </c>
      <c r="C137" s="15">
        <v>0</v>
      </c>
      <c r="D137" s="15">
        <v>5</v>
      </c>
      <c r="E137" s="15">
        <v>2293</v>
      </c>
      <c r="F137" s="15">
        <v>1054</v>
      </c>
      <c r="G137" s="15">
        <v>1239</v>
      </c>
    </row>
    <row r="138" spans="1:7" s="1" customFormat="1" ht="10.5" customHeight="1" x14ac:dyDescent="0.25">
      <c r="A138" s="104" t="s">
        <v>54</v>
      </c>
      <c r="B138" s="62">
        <v>0</v>
      </c>
      <c r="C138" s="15">
        <v>0</v>
      </c>
      <c r="D138" s="15">
        <v>0</v>
      </c>
      <c r="E138" s="15">
        <v>873</v>
      </c>
      <c r="F138" s="15">
        <v>482</v>
      </c>
      <c r="G138" s="15">
        <v>391</v>
      </c>
    </row>
    <row r="139" spans="1:7" s="1" customFormat="1" ht="10.5" customHeight="1" x14ac:dyDescent="0.25">
      <c r="A139" s="104" t="s">
        <v>53</v>
      </c>
      <c r="B139" s="62">
        <v>1</v>
      </c>
      <c r="C139" s="15">
        <v>0</v>
      </c>
      <c r="D139" s="15">
        <v>1</v>
      </c>
      <c r="E139" s="15">
        <v>1522</v>
      </c>
      <c r="F139" s="15">
        <v>711</v>
      </c>
      <c r="G139" s="15">
        <v>811</v>
      </c>
    </row>
    <row r="140" spans="1:7" s="1" customFormat="1" ht="10.5" customHeight="1" x14ac:dyDescent="0.25">
      <c r="A140" s="104" t="s">
        <v>52</v>
      </c>
      <c r="B140" s="62">
        <v>52</v>
      </c>
      <c r="C140" s="15">
        <v>26</v>
      </c>
      <c r="D140" s="15">
        <v>26</v>
      </c>
      <c r="E140" s="15">
        <v>58513</v>
      </c>
      <c r="F140" s="15">
        <v>29550</v>
      </c>
      <c r="G140" s="15">
        <v>28963</v>
      </c>
    </row>
    <row r="141" spans="1:7" s="1" customFormat="1" ht="10.5" customHeight="1" x14ac:dyDescent="0.25">
      <c r="A141" s="104" t="s">
        <v>51</v>
      </c>
      <c r="B141" s="62">
        <v>642</v>
      </c>
      <c r="C141" s="15">
        <v>287</v>
      </c>
      <c r="D141" s="15">
        <v>355</v>
      </c>
      <c r="E141" s="15">
        <v>752253</v>
      </c>
      <c r="F141" s="15">
        <v>352966</v>
      </c>
      <c r="G141" s="15">
        <v>399287</v>
      </c>
    </row>
    <row r="142" spans="1:7" s="1" customFormat="1" ht="10.5" customHeight="1" x14ac:dyDescent="0.25">
      <c r="A142" s="50"/>
      <c r="B142" s="63"/>
      <c r="C142" s="88"/>
      <c r="D142" s="88"/>
      <c r="E142" s="88"/>
      <c r="F142" s="88"/>
      <c r="G142" s="88"/>
    </row>
    <row r="143" spans="1:7" s="1" customFormat="1" ht="10.5" customHeight="1" x14ac:dyDescent="0.25">
      <c r="A143" s="59" t="s">
        <v>21</v>
      </c>
      <c r="B143" s="60">
        <v>15505</v>
      </c>
      <c r="C143" s="61">
        <v>7333</v>
      </c>
      <c r="D143" s="61">
        <v>8172</v>
      </c>
      <c r="E143" s="61">
        <v>6215088</v>
      </c>
      <c r="F143" s="61">
        <v>2986258</v>
      </c>
      <c r="G143" s="61">
        <v>3228830</v>
      </c>
    </row>
    <row r="144" spans="1:7" s="1" customFormat="1" ht="10.5" customHeight="1" x14ac:dyDescent="0.25">
      <c r="A144" s="104" t="s">
        <v>55</v>
      </c>
      <c r="B144" s="62">
        <v>32</v>
      </c>
      <c r="C144" s="15">
        <v>15</v>
      </c>
      <c r="D144" s="15">
        <v>17</v>
      </c>
      <c r="E144" s="15">
        <v>13586</v>
      </c>
      <c r="F144" s="15">
        <v>7125</v>
      </c>
      <c r="G144" s="15">
        <v>6461</v>
      </c>
    </row>
    <row r="145" spans="1:7" s="1" customFormat="1" ht="10.5" customHeight="1" x14ac:dyDescent="0.25">
      <c r="A145" s="104" t="s">
        <v>54</v>
      </c>
      <c r="B145" s="62">
        <v>24</v>
      </c>
      <c r="C145" s="15">
        <v>13</v>
      </c>
      <c r="D145" s="15">
        <v>11</v>
      </c>
      <c r="E145" s="15">
        <v>49112</v>
      </c>
      <c r="F145" s="15">
        <v>26161</v>
      </c>
      <c r="G145" s="15">
        <v>22951</v>
      </c>
    </row>
    <row r="146" spans="1:7" s="1" customFormat="1" ht="10.5" customHeight="1" x14ac:dyDescent="0.25">
      <c r="A146" s="104" t="s">
        <v>53</v>
      </c>
      <c r="B146" s="62">
        <v>17</v>
      </c>
      <c r="C146" s="15">
        <v>8</v>
      </c>
      <c r="D146" s="15">
        <v>9</v>
      </c>
      <c r="E146" s="15">
        <v>7462</v>
      </c>
      <c r="F146" s="15">
        <v>4052</v>
      </c>
      <c r="G146" s="15">
        <v>3410</v>
      </c>
    </row>
    <row r="147" spans="1:7" s="1" customFormat="1" ht="10.5" customHeight="1" x14ac:dyDescent="0.25">
      <c r="A147" s="104" t="s">
        <v>52</v>
      </c>
      <c r="B147" s="62">
        <v>1113</v>
      </c>
      <c r="C147" s="15">
        <v>554</v>
      </c>
      <c r="D147" s="15">
        <v>559</v>
      </c>
      <c r="E147" s="15">
        <v>484105</v>
      </c>
      <c r="F147" s="15">
        <v>245851</v>
      </c>
      <c r="G147" s="15">
        <v>238254</v>
      </c>
    </row>
    <row r="148" spans="1:7" s="1" customFormat="1" ht="10.5" customHeight="1" x14ac:dyDescent="0.25">
      <c r="A148" s="104" t="s">
        <v>51</v>
      </c>
      <c r="B148" s="62">
        <v>14319</v>
      </c>
      <c r="C148" s="15">
        <v>6743</v>
      </c>
      <c r="D148" s="15">
        <v>7576</v>
      </c>
      <c r="E148" s="15">
        <v>5660823</v>
      </c>
      <c r="F148" s="15">
        <v>2703069</v>
      </c>
      <c r="G148" s="15">
        <v>2957754</v>
      </c>
    </row>
    <row r="149" spans="1:7" s="1" customFormat="1" ht="10.5" customHeight="1" x14ac:dyDescent="0.25">
      <c r="A149" s="50"/>
      <c r="B149" s="63"/>
      <c r="C149" s="88"/>
      <c r="D149" s="88"/>
      <c r="E149" s="88"/>
      <c r="F149" s="88"/>
      <c r="G149" s="88"/>
    </row>
    <row r="150" spans="1:7" s="1" customFormat="1" ht="10.5" customHeight="1" x14ac:dyDescent="0.25">
      <c r="A150" s="59" t="s">
        <v>20</v>
      </c>
      <c r="B150" s="60">
        <v>51722</v>
      </c>
      <c r="C150" s="61">
        <v>26000</v>
      </c>
      <c r="D150" s="61">
        <v>25722</v>
      </c>
      <c r="E150" s="61">
        <v>535664</v>
      </c>
      <c r="F150" s="61">
        <v>266807</v>
      </c>
      <c r="G150" s="61">
        <v>268857</v>
      </c>
    </row>
    <row r="151" spans="1:7" s="1" customFormat="1" ht="10.5" customHeight="1" x14ac:dyDescent="0.25">
      <c r="A151" s="104" t="s">
        <v>55</v>
      </c>
      <c r="B151" s="62">
        <v>1976</v>
      </c>
      <c r="C151" s="15">
        <v>838</v>
      </c>
      <c r="D151" s="15">
        <v>1138</v>
      </c>
      <c r="E151" s="15">
        <v>4266</v>
      </c>
      <c r="F151" s="15">
        <v>2176</v>
      </c>
      <c r="G151" s="15">
        <v>2090</v>
      </c>
    </row>
    <row r="152" spans="1:7" s="1" customFormat="1" ht="10.5" customHeight="1" x14ac:dyDescent="0.25">
      <c r="A152" s="104" t="s">
        <v>54</v>
      </c>
      <c r="B152" s="62">
        <v>49</v>
      </c>
      <c r="C152" s="15">
        <v>22</v>
      </c>
      <c r="D152" s="15">
        <v>27</v>
      </c>
      <c r="E152" s="15">
        <v>711</v>
      </c>
      <c r="F152" s="15">
        <v>419</v>
      </c>
      <c r="G152" s="15">
        <v>292</v>
      </c>
    </row>
    <row r="153" spans="1:7" s="1" customFormat="1" ht="10.5" customHeight="1" x14ac:dyDescent="0.25">
      <c r="A153" s="104" t="s">
        <v>53</v>
      </c>
      <c r="B153" s="62">
        <v>2121</v>
      </c>
      <c r="C153" s="15">
        <v>861</v>
      </c>
      <c r="D153" s="15">
        <v>1260</v>
      </c>
      <c r="E153" s="15">
        <v>5323</v>
      </c>
      <c r="F153" s="15">
        <v>2696</v>
      </c>
      <c r="G153" s="15">
        <v>2627</v>
      </c>
    </row>
    <row r="154" spans="1:7" s="1" customFormat="1" ht="10.5" customHeight="1" x14ac:dyDescent="0.25">
      <c r="A154" s="104" t="s">
        <v>52</v>
      </c>
      <c r="B154" s="62">
        <v>5117</v>
      </c>
      <c r="C154" s="15">
        <v>2619</v>
      </c>
      <c r="D154" s="15">
        <v>2498</v>
      </c>
      <c r="E154" s="15">
        <v>41058</v>
      </c>
      <c r="F154" s="15">
        <v>21458</v>
      </c>
      <c r="G154" s="15">
        <v>19600</v>
      </c>
    </row>
    <row r="155" spans="1:7" s="1" customFormat="1" ht="10.5" customHeight="1" x14ac:dyDescent="0.25">
      <c r="A155" s="104" t="s">
        <v>51</v>
      </c>
      <c r="B155" s="62">
        <v>42459</v>
      </c>
      <c r="C155" s="15">
        <v>21660</v>
      </c>
      <c r="D155" s="15">
        <v>20799</v>
      </c>
      <c r="E155" s="15">
        <v>484306</v>
      </c>
      <c r="F155" s="15">
        <v>240058</v>
      </c>
      <c r="G155" s="15">
        <v>244248</v>
      </c>
    </row>
    <row r="156" spans="1:7" s="1" customFormat="1" ht="10.5" customHeight="1" x14ac:dyDescent="0.25">
      <c r="A156" s="50"/>
      <c r="B156" s="63"/>
      <c r="C156" s="88"/>
      <c r="D156" s="88"/>
      <c r="E156" s="88"/>
      <c r="F156" s="88"/>
      <c r="G156" s="88"/>
    </row>
    <row r="157" spans="1:7" s="1" customFormat="1" ht="10.5" customHeight="1" x14ac:dyDescent="0.25">
      <c r="A157" s="89" t="s">
        <v>19</v>
      </c>
      <c r="B157" s="60">
        <v>3494</v>
      </c>
      <c r="C157" s="61">
        <v>1769</v>
      </c>
      <c r="D157" s="61">
        <v>1725</v>
      </c>
      <c r="E157" s="61">
        <v>60471</v>
      </c>
      <c r="F157" s="61">
        <v>31682</v>
      </c>
      <c r="G157" s="61">
        <v>28789</v>
      </c>
    </row>
    <row r="158" spans="1:7" s="1" customFormat="1" ht="10.5" customHeight="1" x14ac:dyDescent="0.25">
      <c r="A158" s="104" t="s">
        <v>55</v>
      </c>
      <c r="B158" s="62">
        <v>93</v>
      </c>
      <c r="C158" s="15">
        <v>51</v>
      </c>
      <c r="D158" s="15">
        <v>42</v>
      </c>
      <c r="E158" s="15">
        <v>326</v>
      </c>
      <c r="F158" s="15">
        <v>178</v>
      </c>
      <c r="G158" s="15">
        <v>148</v>
      </c>
    </row>
    <row r="159" spans="1:7" s="1" customFormat="1" ht="10.5" customHeight="1" x14ac:dyDescent="0.25">
      <c r="A159" s="104" t="s">
        <v>54</v>
      </c>
      <c r="B159" s="62">
        <v>3</v>
      </c>
      <c r="C159" s="15">
        <v>0</v>
      </c>
      <c r="D159" s="15">
        <v>3</v>
      </c>
      <c r="E159" s="15">
        <v>306</v>
      </c>
      <c r="F159" s="15">
        <v>151</v>
      </c>
      <c r="G159" s="15">
        <v>155</v>
      </c>
    </row>
    <row r="160" spans="1:7" s="1" customFormat="1" ht="10.5" customHeight="1" x14ac:dyDescent="0.25">
      <c r="A160" s="104" t="s">
        <v>53</v>
      </c>
      <c r="B160" s="62">
        <v>107</v>
      </c>
      <c r="C160" s="15">
        <v>48</v>
      </c>
      <c r="D160" s="15">
        <v>59</v>
      </c>
      <c r="E160" s="15">
        <v>217</v>
      </c>
      <c r="F160" s="15">
        <v>122</v>
      </c>
      <c r="G160" s="15">
        <v>95</v>
      </c>
    </row>
    <row r="161" spans="1:7" s="1" customFormat="1" ht="10.5" customHeight="1" x14ac:dyDescent="0.25">
      <c r="A161" s="104" t="s">
        <v>52</v>
      </c>
      <c r="B161" s="62">
        <v>396</v>
      </c>
      <c r="C161" s="15">
        <v>220</v>
      </c>
      <c r="D161" s="15">
        <v>176</v>
      </c>
      <c r="E161" s="15">
        <v>6586</v>
      </c>
      <c r="F161" s="15">
        <v>3644</v>
      </c>
      <c r="G161" s="15">
        <v>2942</v>
      </c>
    </row>
    <row r="162" spans="1:7" s="1" customFormat="1" ht="10.5" customHeight="1" x14ac:dyDescent="0.25">
      <c r="A162" s="104" t="s">
        <v>51</v>
      </c>
      <c r="B162" s="62">
        <v>2895</v>
      </c>
      <c r="C162" s="15">
        <v>1450</v>
      </c>
      <c r="D162" s="15">
        <v>1445</v>
      </c>
      <c r="E162" s="15">
        <v>53036</v>
      </c>
      <c r="F162" s="15">
        <v>27587</v>
      </c>
      <c r="G162" s="15">
        <v>25449</v>
      </c>
    </row>
    <row r="163" spans="1:7" s="1" customFormat="1" ht="10.5" customHeight="1" x14ac:dyDescent="0.25">
      <c r="A163" s="51"/>
      <c r="B163" s="63"/>
      <c r="C163" s="88"/>
      <c r="D163" s="88"/>
      <c r="E163" s="88"/>
      <c r="F163" s="88"/>
      <c r="G163" s="88"/>
    </row>
    <row r="164" spans="1:7" s="1" customFormat="1" ht="10.5" customHeight="1" x14ac:dyDescent="0.25">
      <c r="A164" s="59" t="s">
        <v>12</v>
      </c>
      <c r="B164" s="60">
        <v>128</v>
      </c>
      <c r="C164" s="61">
        <v>62</v>
      </c>
      <c r="D164" s="61">
        <v>66</v>
      </c>
      <c r="E164" s="61">
        <v>86216</v>
      </c>
      <c r="F164" s="61">
        <v>43212</v>
      </c>
      <c r="G164" s="61">
        <v>43004</v>
      </c>
    </row>
    <row r="165" spans="1:7" s="1" customFormat="1" ht="10.5" customHeight="1" x14ac:dyDescent="0.25">
      <c r="A165" s="104" t="s">
        <v>55</v>
      </c>
      <c r="B165" s="62">
        <v>0</v>
      </c>
      <c r="C165" s="15">
        <v>0</v>
      </c>
      <c r="D165" s="15">
        <v>0</v>
      </c>
      <c r="E165" s="15">
        <v>111</v>
      </c>
      <c r="F165" s="15">
        <v>66</v>
      </c>
      <c r="G165" s="15">
        <v>45</v>
      </c>
    </row>
    <row r="166" spans="1:7" s="1" customFormat="1" ht="10.5" customHeight="1" x14ac:dyDescent="0.25">
      <c r="A166" s="104" t="s">
        <v>54</v>
      </c>
      <c r="B166" s="62">
        <v>0</v>
      </c>
      <c r="C166" s="15">
        <v>0</v>
      </c>
      <c r="D166" s="15">
        <v>0</v>
      </c>
      <c r="E166" s="15">
        <v>350</v>
      </c>
      <c r="F166" s="15">
        <v>208</v>
      </c>
      <c r="G166" s="15">
        <v>142</v>
      </c>
    </row>
    <row r="167" spans="1:7" s="1" customFormat="1" ht="10.5" customHeight="1" x14ac:dyDescent="0.25">
      <c r="A167" s="104" t="s">
        <v>53</v>
      </c>
      <c r="B167" s="62">
        <v>0</v>
      </c>
      <c r="C167" s="15">
        <v>0</v>
      </c>
      <c r="D167" s="15">
        <v>0</v>
      </c>
      <c r="E167" s="15">
        <v>55</v>
      </c>
      <c r="F167" s="15">
        <v>30</v>
      </c>
      <c r="G167" s="15">
        <v>25</v>
      </c>
    </row>
    <row r="168" spans="1:7" s="1" customFormat="1" ht="10.5" customHeight="1" x14ac:dyDescent="0.25">
      <c r="A168" s="104" t="s">
        <v>52</v>
      </c>
      <c r="B168" s="62">
        <v>11</v>
      </c>
      <c r="C168" s="15">
        <v>6</v>
      </c>
      <c r="D168" s="15">
        <v>5</v>
      </c>
      <c r="E168" s="15">
        <v>7034</v>
      </c>
      <c r="F168" s="15">
        <v>3863</v>
      </c>
      <c r="G168" s="15">
        <v>3171</v>
      </c>
    </row>
    <row r="169" spans="1:7" s="1" customFormat="1" ht="10.5" customHeight="1" x14ac:dyDescent="0.25">
      <c r="A169" s="104" t="s">
        <v>51</v>
      </c>
      <c r="B169" s="62">
        <v>117</v>
      </c>
      <c r="C169" s="15">
        <v>56</v>
      </c>
      <c r="D169" s="15">
        <v>61</v>
      </c>
      <c r="E169" s="15">
        <v>78666</v>
      </c>
      <c r="F169" s="15">
        <v>39045</v>
      </c>
      <c r="G169" s="15">
        <v>39621</v>
      </c>
    </row>
    <row r="170" spans="1:7" s="1" customFormat="1" ht="10.5" customHeight="1" x14ac:dyDescent="0.25">
      <c r="A170" s="13"/>
      <c r="B170" s="105"/>
      <c r="C170" s="106"/>
      <c r="D170" s="106"/>
      <c r="E170" s="106"/>
      <c r="F170" s="106"/>
      <c r="G170" s="106"/>
    </row>
    <row r="171" spans="1:7" s="1" customFormat="1" ht="10.5" customHeight="1" x14ac:dyDescent="0.25">
      <c r="A171" s="59" t="s">
        <v>11</v>
      </c>
      <c r="B171" s="60">
        <v>12284</v>
      </c>
      <c r="C171" s="61">
        <v>6110</v>
      </c>
      <c r="D171" s="61">
        <v>6174</v>
      </c>
      <c r="E171" s="61">
        <v>107909</v>
      </c>
      <c r="F171" s="61">
        <v>55064</v>
      </c>
      <c r="G171" s="61">
        <v>52845</v>
      </c>
    </row>
    <row r="172" spans="1:7" s="1" customFormat="1" ht="10.5" customHeight="1" x14ac:dyDescent="0.25">
      <c r="A172" s="104" t="s">
        <v>55</v>
      </c>
      <c r="B172" s="62">
        <v>167</v>
      </c>
      <c r="C172" s="15">
        <v>91</v>
      </c>
      <c r="D172" s="15">
        <v>76</v>
      </c>
      <c r="E172" s="15">
        <v>219</v>
      </c>
      <c r="F172" s="15">
        <v>114</v>
      </c>
      <c r="G172" s="15">
        <v>105</v>
      </c>
    </row>
    <row r="173" spans="1:7" s="1" customFormat="1" ht="10.5" customHeight="1" x14ac:dyDescent="0.25">
      <c r="A173" s="104" t="s">
        <v>54</v>
      </c>
      <c r="B173" s="62">
        <v>0</v>
      </c>
      <c r="C173" s="15">
        <v>0</v>
      </c>
      <c r="D173" s="15">
        <v>0</v>
      </c>
      <c r="E173" s="15">
        <v>125</v>
      </c>
      <c r="F173" s="15">
        <v>72</v>
      </c>
      <c r="G173" s="15">
        <v>53</v>
      </c>
    </row>
    <row r="174" spans="1:7" s="1" customFormat="1" ht="10.5" customHeight="1" x14ac:dyDescent="0.25">
      <c r="A174" s="104" t="s">
        <v>53</v>
      </c>
      <c r="B174" s="62">
        <v>248</v>
      </c>
      <c r="C174" s="15">
        <v>120</v>
      </c>
      <c r="D174" s="15">
        <v>128</v>
      </c>
      <c r="E174" s="15">
        <v>189</v>
      </c>
      <c r="F174" s="15">
        <v>100</v>
      </c>
      <c r="G174" s="15">
        <v>89</v>
      </c>
    </row>
    <row r="175" spans="1:7" s="1" customFormat="1" ht="10.5" customHeight="1" x14ac:dyDescent="0.25">
      <c r="A175" s="104" t="s">
        <v>52</v>
      </c>
      <c r="B175" s="62">
        <v>1481</v>
      </c>
      <c r="C175" s="15">
        <v>768</v>
      </c>
      <c r="D175" s="15">
        <v>713</v>
      </c>
      <c r="E175" s="15">
        <v>11948</v>
      </c>
      <c r="F175" s="15">
        <v>6452</v>
      </c>
      <c r="G175" s="15">
        <v>5496</v>
      </c>
    </row>
    <row r="176" spans="1:7" s="1" customFormat="1" ht="10.5" customHeight="1" x14ac:dyDescent="0.25">
      <c r="A176" s="104" t="s">
        <v>51</v>
      </c>
      <c r="B176" s="62">
        <v>10388</v>
      </c>
      <c r="C176" s="15">
        <v>5131</v>
      </c>
      <c r="D176" s="15">
        <v>5257</v>
      </c>
      <c r="E176" s="15">
        <v>95428</v>
      </c>
      <c r="F176" s="15">
        <v>48326</v>
      </c>
      <c r="G176" s="15">
        <v>47102</v>
      </c>
    </row>
    <row r="177" spans="1:7" s="1" customFormat="1" ht="10.5" customHeight="1" x14ac:dyDescent="0.25">
      <c r="A177" s="50"/>
      <c r="B177" s="63"/>
      <c r="C177" s="88"/>
      <c r="D177" s="88"/>
      <c r="E177" s="88"/>
      <c r="F177" s="88"/>
      <c r="G177" s="88"/>
    </row>
    <row r="178" spans="1:7" s="1" customFormat="1" ht="10.5" customHeight="1" x14ac:dyDescent="0.25">
      <c r="A178" s="59" t="s">
        <v>10</v>
      </c>
      <c r="B178" s="60">
        <v>428</v>
      </c>
      <c r="C178" s="61">
        <v>222</v>
      </c>
      <c r="D178" s="61">
        <v>206</v>
      </c>
      <c r="E178" s="61">
        <v>1252467</v>
      </c>
      <c r="F178" s="61">
        <v>607101</v>
      </c>
      <c r="G178" s="61">
        <v>645366</v>
      </c>
    </row>
    <row r="179" spans="1:7" s="1" customFormat="1" ht="10.5" customHeight="1" x14ac:dyDescent="0.25">
      <c r="A179" s="104" t="s">
        <v>55</v>
      </c>
      <c r="B179" s="62">
        <v>2</v>
      </c>
      <c r="C179" s="15">
        <v>2</v>
      </c>
      <c r="D179" s="15">
        <v>0</v>
      </c>
      <c r="E179" s="15">
        <v>4611</v>
      </c>
      <c r="F179" s="15">
        <v>2183</v>
      </c>
      <c r="G179" s="15">
        <v>2428</v>
      </c>
    </row>
    <row r="180" spans="1:7" s="1" customFormat="1" ht="10.5" customHeight="1" x14ac:dyDescent="0.25">
      <c r="A180" s="104" t="s">
        <v>54</v>
      </c>
      <c r="B180" s="62">
        <v>1</v>
      </c>
      <c r="C180" s="15">
        <v>0</v>
      </c>
      <c r="D180" s="15">
        <v>1</v>
      </c>
      <c r="E180" s="15">
        <v>1406</v>
      </c>
      <c r="F180" s="15">
        <v>807</v>
      </c>
      <c r="G180" s="15">
        <v>599</v>
      </c>
    </row>
    <row r="181" spans="1:7" s="1" customFormat="1" ht="10.5" customHeight="1" x14ac:dyDescent="0.25">
      <c r="A181" s="104" t="s">
        <v>53</v>
      </c>
      <c r="B181" s="62">
        <v>1</v>
      </c>
      <c r="C181" s="15">
        <v>1</v>
      </c>
      <c r="D181" s="15">
        <v>0</v>
      </c>
      <c r="E181" s="15">
        <v>3676</v>
      </c>
      <c r="F181" s="15">
        <v>1533</v>
      </c>
      <c r="G181" s="15">
        <v>2143</v>
      </c>
    </row>
    <row r="182" spans="1:7" s="1" customFormat="1" ht="10.5" customHeight="1" x14ac:dyDescent="0.25">
      <c r="A182" s="104" t="s">
        <v>52</v>
      </c>
      <c r="B182" s="62">
        <v>40</v>
      </c>
      <c r="C182" s="15">
        <v>18</v>
      </c>
      <c r="D182" s="15">
        <v>22</v>
      </c>
      <c r="E182" s="15">
        <v>89040</v>
      </c>
      <c r="F182" s="15">
        <v>45200</v>
      </c>
      <c r="G182" s="15">
        <v>43840</v>
      </c>
    </row>
    <row r="183" spans="1:7" s="1" customFormat="1" ht="10.5" customHeight="1" x14ac:dyDescent="0.25">
      <c r="A183" s="104" t="s">
        <v>51</v>
      </c>
      <c r="B183" s="62">
        <v>384</v>
      </c>
      <c r="C183" s="15">
        <v>201</v>
      </c>
      <c r="D183" s="15">
        <v>183</v>
      </c>
      <c r="E183" s="15">
        <v>1153734</v>
      </c>
      <c r="F183" s="15">
        <v>557378</v>
      </c>
      <c r="G183" s="15">
        <v>596356</v>
      </c>
    </row>
    <row r="184" spans="1:7" s="1" customFormat="1" ht="10.5" customHeight="1" x14ac:dyDescent="0.25">
      <c r="A184" s="50"/>
      <c r="B184" s="63"/>
      <c r="C184" s="88"/>
      <c r="D184" s="88"/>
      <c r="E184" s="88"/>
      <c r="F184" s="88"/>
      <c r="G184" s="88"/>
    </row>
    <row r="185" spans="1:7" s="1" customFormat="1" ht="10.5" customHeight="1" x14ac:dyDescent="0.25">
      <c r="A185" s="59" t="s">
        <v>9</v>
      </c>
      <c r="B185" s="60">
        <v>157</v>
      </c>
      <c r="C185" s="61">
        <v>95</v>
      </c>
      <c r="D185" s="61">
        <v>62</v>
      </c>
      <c r="E185" s="61">
        <v>86222</v>
      </c>
      <c r="F185" s="61">
        <v>45192</v>
      </c>
      <c r="G185" s="61">
        <v>41030</v>
      </c>
    </row>
    <row r="186" spans="1:7" s="1" customFormat="1" ht="10.5" customHeight="1" x14ac:dyDescent="0.25">
      <c r="A186" s="104" t="s">
        <v>55</v>
      </c>
      <c r="B186" s="62">
        <v>0</v>
      </c>
      <c r="C186" s="15">
        <v>0</v>
      </c>
      <c r="D186" s="15">
        <v>0</v>
      </c>
      <c r="E186" s="15">
        <v>141</v>
      </c>
      <c r="F186" s="15">
        <v>98</v>
      </c>
      <c r="G186" s="15">
        <v>43</v>
      </c>
    </row>
    <row r="187" spans="1:7" s="1" customFormat="1" ht="10.5" customHeight="1" x14ac:dyDescent="0.25">
      <c r="A187" s="104" t="s">
        <v>54</v>
      </c>
      <c r="B187" s="62">
        <v>1</v>
      </c>
      <c r="C187" s="15">
        <v>1</v>
      </c>
      <c r="D187" s="15">
        <v>0</v>
      </c>
      <c r="E187" s="15">
        <v>251</v>
      </c>
      <c r="F187" s="15">
        <v>133</v>
      </c>
      <c r="G187" s="15">
        <v>118</v>
      </c>
    </row>
    <row r="188" spans="1:7" s="1" customFormat="1" ht="10.5" customHeight="1" x14ac:dyDescent="0.25">
      <c r="A188" s="104" t="s">
        <v>53</v>
      </c>
      <c r="B188" s="62">
        <v>1</v>
      </c>
      <c r="C188" s="15">
        <v>0</v>
      </c>
      <c r="D188" s="15">
        <v>1</v>
      </c>
      <c r="E188" s="15">
        <v>54</v>
      </c>
      <c r="F188" s="15">
        <v>31</v>
      </c>
      <c r="G188" s="15">
        <v>23</v>
      </c>
    </row>
    <row r="189" spans="1:7" s="1" customFormat="1" ht="10.5" customHeight="1" x14ac:dyDescent="0.25">
      <c r="A189" s="104" t="s">
        <v>52</v>
      </c>
      <c r="B189" s="62">
        <v>16</v>
      </c>
      <c r="C189" s="15">
        <v>10</v>
      </c>
      <c r="D189" s="15">
        <v>6</v>
      </c>
      <c r="E189" s="15">
        <v>7438</v>
      </c>
      <c r="F189" s="15">
        <v>4121</v>
      </c>
      <c r="G189" s="15">
        <v>3317</v>
      </c>
    </row>
    <row r="190" spans="1:7" s="1" customFormat="1" ht="10.5" customHeight="1" x14ac:dyDescent="0.25">
      <c r="A190" s="104" t="s">
        <v>51</v>
      </c>
      <c r="B190" s="62">
        <v>139</v>
      </c>
      <c r="C190" s="15">
        <v>84</v>
      </c>
      <c r="D190" s="15">
        <v>55</v>
      </c>
      <c r="E190" s="15">
        <v>78338</v>
      </c>
      <c r="F190" s="15">
        <v>40809</v>
      </c>
      <c r="G190" s="15">
        <v>37529</v>
      </c>
    </row>
    <row r="191" spans="1:7" s="1" customFormat="1" ht="3.75" customHeight="1" thickBot="1" x14ac:dyDescent="0.3">
      <c r="A191" s="83"/>
      <c r="B191" s="73"/>
      <c r="C191" s="74"/>
      <c r="D191" s="75"/>
      <c r="E191" s="76"/>
      <c r="F191" s="76"/>
      <c r="G191" s="76"/>
    </row>
    <row r="192" spans="1:7" s="1" customFormat="1" ht="10.5" customHeight="1" x14ac:dyDescent="0.25">
      <c r="A192" s="48"/>
      <c r="B192" s="7"/>
      <c r="C192" s="7"/>
      <c r="D192" s="6"/>
      <c r="E192" s="28"/>
      <c r="F192" s="28"/>
      <c r="G192" s="7" t="s">
        <v>83</v>
      </c>
    </row>
    <row r="193" spans="1:7" ht="12.75" customHeight="1" x14ac:dyDescent="0.2">
      <c r="A193" s="205" t="str">
        <f>A$1</f>
        <v>CUADRO Nº 2.2</v>
      </c>
      <c r="B193" s="205"/>
      <c r="C193" s="205"/>
      <c r="D193" s="205"/>
      <c r="E193" s="205"/>
      <c r="F193" s="205"/>
      <c r="G193" s="205"/>
    </row>
    <row r="194" spans="1:7" ht="20.25" customHeight="1" x14ac:dyDescent="0.2">
      <c r="A194" s="206" t="str">
        <f>A$2</f>
        <v>PERÚ: POBLACIÓN CENSADA INDÍGENA U ORIGINARIA DE LA AMAZONÍA, BLANCA(O), MESTIZA(O) Y OTRA(O) DE 12 Y MÁS AÑOS DE EDAD, POR SEXO, SEGÚN TENENCIA DE DOCUMENTO NACIONAL DE IDENTIDAD, ÁREA DE RESIDENCIA Y DEPARTAMENTO, 2017</v>
      </c>
      <c r="B194" s="206"/>
      <c r="C194" s="206"/>
      <c r="D194" s="206"/>
      <c r="E194" s="206"/>
      <c r="F194" s="206"/>
      <c r="G194" s="206"/>
    </row>
    <row r="195" spans="1:7" ht="12.75" customHeight="1" x14ac:dyDescent="0.25">
      <c r="A195" s="215" t="str">
        <f>A$3</f>
        <v>(Cifras absolutas)</v>
      </c>
      <c r="B195" s="215"/>
      <c r="C195" s="215"/>
      <c r="D195" s="215"/>
      <c r="E195" s="215"/>
      <c r="F195" s="215"/>
      <c r="G195" s="215"/>
    </row>
    <row r="196" spans="1:7" ht="10.5" customHeight="1" thickBot="1" x14ac:dyDescent="0.25">
      <c r="A196" s="48"/>
      <c r="B196" s="48"/>
      <c r="C196" s="48"/>
      <c r="D196" s="48"/>
      <c r="E196" s="48"/>
      <c r="F196" s="48"/>
      <c r="G196" s="6" t="s">
        <v>16</v>
      </c>
    </row>
    <row r="197" spans="1:7" ht="12.75" customHeight="1" thickBot="1" x14ac:dyDescent="0.25">
      <c r="A197" s="216" t="str">
        <f>A$5</f>
        <v xml:space="preserve">Tenencia de documento nacional de identidad / Área de residencia y departamento </v>
      </c>
      <c r="B197" s="210" t="str">
        <f>B$5</f>
        <v>Indígena u originaria de la Amazonía</v>
      </c>
      <c r="C197" s="211"/>
      <c r="D197" s="212"/>
      <c r="E197" s="210" t="s">
        <v>116</v>
      </c>
      <c r="F197" s="211"/>
      <c r="G197" s="212"/>
    </row>
    <row r="198" spans="1:7" ht="12.75" customHeight="1" thickBot="1" x14ac:dyDescent="0.25">
      <c r="A198" s="217"/>
      <c r="B198" s="53" t="str">
        <f>B$6</f>
        <v>Total</v>
      </c>
      <c r="C198" s="54" t="str">
        <f t="shared" ref="C198:G198" si="2">C$6</f>
        <v>Hombre</v>
      </c>
      <c r="D198" s="55" t="str">
        <f t="shared" si="2"/>
        <v>Mujer</v>
      </c>
      <c r="E198" s="56" t="str">
        <f>E$6</f>
        <v>Total</v>
      </c>
      <c r="F198" s="56" t="str">
        <f t="shared" si="2"/>
        <v>Hombre</v>
      </c>
      <c r="G198" s="57" t="str">
        <f t="shared" si="2"/>
        <v>Mujer</v>
      </c>
    </row>
    <row r="199" spans="1:7" ht="3.75" customHeight="1" x14ac:dyDescent="0.25">
      <c r="A199" s="51"/>
      <c r="B199" s="102"/>
      <c r="C199" s="8"/>
      <c r="D199" s="8"/>
      <c r="E199" s="28"/>
      <c r="F199" s="28"/>
      <c r="G199" s="103"/>
    </row>
    <row r="200" spans="1:7" s="1" customFormat="1" ht="10.5" customHeight="1" x14ac:dyDescent="0.25">
      <c r="A200" s="59" t="s">
        <v>8</v>
      </c>
      <c r="B200" s="60">
        <v>4764</v>
      </c>
      <c r="C200" s="61">
        <v>2351</v>
      </c>
      <c r="D200" s="61">
        <v>2413</v>
      </c>
      <c r="E200" s="61">
        <v>541008</v>
      </c>
      <c r="F200" s="61">
        <v>274725</v>
      </c>
      <c r="G200" s="61">
        <v>266283</v>
      </c>
    </row>
    <row r="201" spans="1:7" s="1" customFormat="1" ht="10.5" customHeight="1" x14ac:dyDescent="0.25">
      <c r="A201" s="104" t="s">
        <v>55</v>
      </c>
      <c r="B201" s="62">
        <v>98</v>
      </c>
      <c r="C201" s="15">
        <v>40</v>
      </c>
      <c r="D201" s="15">
        <v>58</v>
      </c>
      <c r="E201" s="15">
        <v>2067</v>
      </c>
      <c r="F201" s="15">
        <v>953</v>
      </c>
      <c r="G201" s="15">
        <v>1114</v>
      </c>
    </row>
    <row r="202" spans="1:7" s="1" customFormat="1" ht="10.5" customHeight="1" x14ac:dyDescent="0.25">
      <c r="A202" s="104" t="s">
        <v>54</v>
      </c>
      <c r="B202" s="62">
        <v>2</v>
      </c>
      <c r="C202" s="15">
        <v>0</v>
      </c>
      <c r="D202" s="15">
        <v>2</v>
      </c>
      <c r="E202" s="15">
        <v>472</v>
      </c>
      <c r="F202" s="15">
        <v>268</v>
      </c>
      <c r="G202" s="15">
        <v>204</v>
      </c>
    </row>
    <row r="203" spans="1:7" s="1" customFormat="1" ht="10.5" customHeight="1" x14ac:dyDescent="0.25">
      <c r="A203" s="104" t="s">
        <v>53</v>
      </c>
      <c r="B203" s="62">
        <v>138</v>
      </c>
      <c r="C203" s="15">
        <v>46</v>
      </c>
      <c r="D203" s="15">
        <v>92</v>
      </c>
      <c r="E203" s="15">
        <v>1907</v>
      </c>
      <c r="F203" s="15">
        <v>830</v>
      </c>
      <c r="G203" s="15">
        <v>1077</v>
      </c>
    </row>
    <row r="204" spans="1:7" s="1" customFormat="1" ht="10.5" customHeight="1" x14ac:dyDescent="0.25">
      <c r="A204" s="104" t="s">
        <v>52</v>
      </c>
      <c r="B204" s="62">
        <v>434</v>
      </c>
      <c r="C204" s="15">
        <v>198</v>
      </c>
      <c r="D204" s="15">
        <v>236</v>
      </c>
      <c r="E204" s="15">
        <v>40504</v>
      </c>
      <c r="F204" s="15">
        <v>21707</v>
      </c>
      <c r="G204" s="15">
        <v>18797</v>
      </c>
    </row>
    <row r="205" spans="1:7" s="1" customFormat="1" ht="10.5" customHeight="1" x14ac:dyDescent="0.25">
      <c r="A205" s="104" t="s">
        <v>51</v>
      </c>
      <c r="B205" s="62">
        <v>4092</v>
      </c>
      <c r="C205" s="15">
        <v>2067</v>
      </c>
      <c r="D205" s="15">
        <v>2025</v>
      </c>
      <c r="E205" s="15">
        <v>496058</v>
      </c>
      <c r="F205" s="15">
        <v>250967</v>
      </c>
      <c r="G205" s="15">
        <v>245091</v>
      </c>
    </row>
    <row r="206" spans="1:7" s="1" customFormat="1" ht="10.5" customHeight="1" x14ac:dyDescent="0.25">
      <c r="A206" s="68"/>
      <c r="B206" s="69"/>
      <c r="C206" s="93"/>
      <c r="D206" s="93"/>
      <c r="E206" s="92"/>
      <c r="F206" s="92"/>
      <c r="G206" s="92"/>
    </row>
    <row r="207" spans="1:7" s="1" customFormat="1" ht="10.5" customHeight="1" x14ac:dyDescent="0.25">
      <c r="A207" s="59" t="s">
        <v>7</v>
      </c>
      <c r="B207" s="60">
        <v>248</v>
      </c>
      <c r="C207" s="61">
        <v>132</v>
      </c>
      <c r="D207" s="61">
        <v>116</v>
      </c>
      <c r="E207" s="61">
        <v>155775</v>
      </c>
      <c r="F207" s="61">
        <v>77169</v>
      </c>
      <c r="G207" s="61">
        <v>78606</v>
      </c>
    </row>
    <row r="208" spans="1:7" s="1" customFormat="1" ht="10.5" customHeight="1" x14ac:dyDescent="0.25">
      <c r="A208" s="104" t="s">
        <v>55</v>
      </c>
      <c r="B208" s="62">
        <v>1</v>
      </c>
      <c r="C208" s="15">
        <v>1</v>
      </c>
      <c r="D208" s="15">
        <v>0</v>
      </c>
      <c r="E208" s="15">
        <v>268</v>
      </c>
      <c r="F208" s="15">
        <v>152</v>
      </c>
      <c r="G208" s="15">
        <v>116</v>
      </c>
    </row>
    <row r="209" spans="1:7" s="1" customFormat="1" ht="10.5" customHeight="1" x14ac:dyDescent="0.25">
      <c r="A209" s="104" t="s">
        <v>54</v>
      </c>
      <c r="B209" s="62">
        <v>3</v>
      </c>
      <c r="C209" s="15">
        <v>2</v>
      </c>
      <c r="D209" s="15">
        <v>1</v>
      </c>
      <c r="E209" s="15">
        <v>1041</v>
      </c>
      <c r="F209" s="15">
        <v>572</v>
      </c>
      <c r="G209" s="15">
        <v>469</v>
      </c>
    </row>
    <row r="210" spans="1:7" s="1" customFormat="1" ht="10.5" customHeight="1" x14ac:dyDescent="0.25">
      <c r="A210" s="104" t="s">
        <v>53</v>
      </c>
      <c r="B210" s="62">
        <v>0</v>
      </c>
      <c r="C210" s="15">
        <v>0</v>
      </c>
      <c r="D210" s="15">
        <v>0</v>
      </c>
      <c r="E210" s="15">
        <v>137</v>
      </c>
      <c r="F210" s="15">
        <v>86</v>
      </c>
      <c r="G210" s="15">
        <v>51</v>
      </c>
    </row>
    <row r="211" spans="1:7" s="1" customFormat="1" ht="10.5" customHeight="1" x14ac:dyDescent="0.25">
      <c r="A211" s="104" t="s">
        <v>52</v>
      </c>
      <c r="B211" s="62">
        <v>19</v>
      </c>
      <c r="C211" s="15">
        <v>7</v>
      </c>
      <c r="D211" s="15">
        <v>12</v>
      </c>
      <c r="E211" s="15">
        <v>12043</v>
      </c>
      <c r="F211" s="15">
        <v>6275</v>
      </c>
      <c r="G211" s="15">
        <v>5768</v>
      </c>
    </row>
    <row r="212" spans="1:7" s="1" customFormat="1" ht="10.5" customHeight="1" x14ac:dyDescent="0.25">
      <c r="A212" s="104" t="s">
        <v>51</v>
      </c>
      <c r="B212" s="62">
        <v>225</v>
      </c>
      <c r="C212" s="15">
        <v>122</v>
      </c>
      <c r="D212" s="15">
        <v>103</v>
      </c>
      <c r="E212" s="15">
        <v>142286</v>
      </c>
      <c r="F212" s="15">
        <v>70084</v>
      </c>
      <c r="G212" s="15">
        <v>72202</v>
      </c>
    </row>
    <row r="213" spans="1:7" s="1" customFormat="1" ht="10.5" customHeight="1" x14ac:dyDescent="0.25">
      <c r="A213" s="68"/>
      <c r="B213" s="69"/>
      <c r="C213" s="93"/>
      <c r="D213" s="93"/>
      <c r="E213" s="92"/>
      <c r="F213" s="92"/>
      <c r="G213" s="92"/>
    </row>
    <row r="214" spans="1:7" s="1" customFormat="1" ht="10.5" customHeight="1" x14ac:dyDescent="0.25">
      <c r="A214" s="59" t="s">
        <v>6</v>
      </c>
      <c r="B214" s="60">
        <v>114</v>
      </c>
      <c r="C214" s="61">
        <v>77</v>
      </c>
      <c r="D214" s="61">
        <v>37</v>
      </c>
      <c r="E214" s="61">
        <v>147990</v>
      </c>
      <c r="F214" s="61">
        <v>73395</v>
      </c>
      <c r="G214" s="61">
        <v>74595</v>
      </c>
    </row>
    <row r="215" spans="1:7" s="1" customFormat="1" ht="10.5" customHeight="1" x14ac:dyDescent="0.25">
      <c r="A215" s="104" t="s">
        <v>55</v>
      </c>
      <c r="B215" s="62">
        <v>1</v>
      </c>
      <c r="C215" s="15">
        <v>1</v>
      </c>
      <c r="D215" s="15">
        <v>0</v>
      </c>
      <c r="E215" s="15">
        <v>408</v>
      </c>
      <c r="F215" s="15">
        <v>224</v>
      </c>
      <c r="G215" s="15">
        <v>184</v>
      </c>
    </row>
    <row r="216" spans="1:7" s="1" customFormat="1" ht="10.5" customHeight="1" x14ac:dyDescent="0.25">
      <c r="A216" s="104" t="s">
        <v>54</v>
      </c>
      <c r="B216" s="62">
        <v>0</v>
      </c>
      <c r="C216" s="15">
        <v>0</v>
      </c>
      <c r="D216" s="15">
        <v>0</v>
      </c>
      <c r="E216" s="15">
        <v>486</v>
      </c>
      <c r="F216" s="15">
        <v>245</v>
      </c>
      <c r="G216" s="15">
        <v>241</v>
      </c>
    </row>
    <row r="217" spans="1:7" s="1" customFormat="1" ht="10.5" customHeight="1" x14ac:dyDescent="0.25">
      <c r="A217" s="104" t="s">
        <v>53</v>
      </c>
      <c r="B217" s="62">
        <v>0</v>
      </c>
      <c r="C217" s="15">
        <v>0</v>
      </c>
      <c r="D217" s="15">
        <v>0</v>
      </c>
      <c r="E217" s="15">
        <v>312</v>
      </c>
      <c r="F217" s="15">
        <v>191</v>
      </c>
      <c r="G217" s="15">
        <v>121</v>
      </c>
    </row>
    <row r="218" spans="1:7" s="1" customFormat="1" ht="10.5" customHeight="1" x14ac:dyDescent="0.25">
      <c r="A218" s="104" t="s">
        <v>52</v>
      </c>
      <c r="B218" s="62">
        <v>9</v>
      </c>
      <c r="C218" s="15">
        <v>7</v>
      </c>
      <c r="D218" s="15">
        <v>2</v>
      </c>
      <c r="E218" s="15">
        <v>11762</v>
      </c>
      <c r="F218" s="15">
        <v>6068</v>
      </c>
      <c r="G218" s="15">
        <v>5694</v>
      </c>
    </row>
    <row r="219" spans="1:7" s="1" customFormat="1" ht="10.5" customHeight="1" x14ac:dyDescent="0.25">
      <c r="A219" s="104" t="s">
        <v>51</v>
      </c>
      <c r="B219" s="62">
        <v>104</v>
      </c>
      <c r="C219" s="15">
        <v>69</v>
      </c>
      <c r="D219" s="15">
        <v>35</v>
      </c>
      <c r="E219" s="15">
        <v>135022</v>
      </c>
      <c r="F219" s="15">
        <v>66667</v>
      </c>
      <c r="G219" s="15">
        <v>68355</v>
      </c>
    </row>
    <row r="220" spans="1:7" s="1" customFormat="1" ht="10.5" customHeight="1" x14ac:dyDescent="0.25">
      <c r="A220" s="50"/>
      <c r="B220" s="63"/>
      <c r="C220" s="88"/>
      <c r="D220" s="88"/>
      <c r="E220" s="88"/>
      <c r="F220" s="88"/>
      <c r="G220" s="88"/>
    </row>
    <row r="221" spans="1:7" s="1" customFormat="1" ht="10.5" customHeight="1" x14ac:dyDescent="0.25">
      <c r="A221" s="59" t="s">
        <v>5</v>
      </c>
      <c r="B221" s="60">
        <v>36774</v>
      </c>
      <c r="C221" s="61">
        <v>17978</v>
      </c>
      <c r="D221" s="61">
        <v>18796</v>
      </c>
      <c r="E221" s="61">
        <v>293650</v>
      </c>
      <c r="F221" s="61">
        <v>147011</v>
      </c>
      <c r="G221" s="61">
        <v>146639</v>
      </c>
    </row>
    <row r="222" spans="1:7" s="1" customFormat="1" ht="10.5" customHeight="1" x14ac:dyDescent="0.25">
      <c r="A222" s="104" t="s">
        <v>55</v>
      </c>
      <c r="B222" s="62">
        <v>653</v>
      </c>
      <c r="C222" s="15">
        <v>308</v>
      </c>
      <c r="D222" s="15">
        <v>345</v>
      </c>
      <c r="E222" s="15">
        <v>1995</v>
      </c>
      <c r="F222" s="15">
        <v>1077</v>
      </c>
      <c r="G222" s="15">
        <v>918</v>
      </c>
    </row>
    <row r="223" spans="1:7" s="1" customFormat="1" ht="10.5" customHeight="1" x14ac:dyDescent="0.25">
      <c r="A223" s="104" t="s">
        <v>54</v>
      </c>
      <c r="B223" s="62">
        <v>17</v>
      </c>
      <c r="C223" s="15">
        <v>6</v>
      </c>
      <c r="D223" s="15">
        <v>11</v>
      </c>
      <c r="E223" s="15">
        <v>535</v>
      </c>
      <c r="F223" s="15">
        <v>305</v>
      </c>
      <c r="G223" s="15">
        <v>230</v>
      </c>
    </row>
    <row r="224" spans="1:7" s="1" customFormat="1" ht="10.5" customHeight="1" x14ac:dyDescent="0.25">
      <c r="A224" s="104" t="s">
        <v>53</v>
      </c>
      <c r="B224" s="62">
        <v>1051</v>
      </c>
      <c r="C224" s="15">
        <v>494</v>
      </c>
      <c r="D224" s="15">
        <v>557</v>
      </c>
      <c r="E224" s="15">
        <v>2165</v>
      </c>
      <c r="F224" s="15">
        <v>1167</v>
      </c>
      <c r="G224" s="15">
        <v>998</v>
      </c>
    </row>
    <row r="225" spans="1:7" s="1" customFormat="1" ht="10.5" customHeight="1" x14ac:dyDescent="0.25">
      <c r="A225" s="104" t="s">
        <v>52</v>
      </c>
      <c r="B225" s="62">
        <v>4155</v>
      </c>
      <c r="C225" s="15">
        <v>2059</v>
      </c>
      <c r="D225" s="15">
        <v>2096</v>
      </c>
      <c r="E225" s="15">
        <v>27944</v>
      </c>
      <c r="F225" s="15">
        <v>15148</v>
      </c>
      <c r="G225" s="15">
        <v>12796</v>
      </c>
    </row>
    <row r="226" spans="1:7" s="1" customFormat="1" ht="10.5" customHeight="1" x14ac:dyDescent="0.25">
      <c r="A226" s="104" t="s">
        <v>51</v>
      </c>
      <c r="B226" s="62">
        <v>30898</v>
      </c>
      <c r="C226" s="15">
        <v>15111</v>
      </c>
      <c r="D226" s="15">
        <v>15787</v>
      </c>
      <c r="E226" s="15">
        <v>261011</v>
      </c>
      <c r="F226" s="15">
        <v>129314</v>
      </c>
      <c r="G226" s="15">
        <v>131697</v>
      </c>
    </row>
    <row r="227" spans="1:7" s="1" customFormat="1" ht="10.5" customHeight="1" x14ac:dyDescent="0.25">
      <c r="A227" s="13"/>
      <c r="B227" s="105"/>
      <c r="C227" s="106"/>
      <c r="D227" s="106"/>
      <c r="E227" s="106"/>
      <c r="F227" s="106"/>
      <c r="G227" s="106"/>
    </row>
    <row r="228" spans="1:7" s="1" customFormat="1" ht="10.5" customHeight="1" x14ac:dyDescent="0.25">
      <c r="A228" s="65" t="s">
        <v>129</v>
      </c>
      <c r="B228" s="66">
        <v>14989</v>
      </c>
      <c r="C228" s="67">
        <v>7062</v>
      </c>
      <c r="D228" s="67">
        <v>7927</v>
      </c>
      <c r="E228" s="67">
        <v>5648599</v>
      </c>
      <c r="F228" s="67">
        <v>2703699</v>
      </c>
      <c r="G228" s="67">
        <v>2944900</v>
      </c>
    </row>
    <row r="229" spans="1:7" s="1" customFormat="1" ht="10.5" customHeight="1" x14ac:dyDescent="0.25">
      <c r="A229" s="104" t="s">
        <v>55</v>
      </c>
      <c r="B229" s="62">
        <v>32</v>
      </c>
      <c r="C229" s="15">
        <v>15</v>
      </c>
      <c r="D229" s="15">
        <v>17</v>
      </c>
      <c r="E229" s="15">
        <v>11974</v>
      </c>
      <c r="F229" s="15">
        <v>6259</v>
      </c>
      <c r="G229" s="15">
        <v>5715</v>
      </c>
    </row>
    <row r="230" spans="1:7" s="1" customFormat="1" ht="10.5" customHeight="1" x14ac:dyDescent="0.25">
      <c r="A230" s="104" t="s">
        <v>54</v>
      </c>
      <c r="B230" s="62">
        <v>23</v>
      </c>
      <c r="C230" s="15">
        <v>13</v>
      </c>
      <c r="D230" s="15">
        <v>10</v>
      </c>
      <c r="E230" s="15">
        <v>48217</v>
      </c>
      <c r="F230" s="15">
        <v>25664</v>
      </c>
      <c r="G230" s="15">
        <v>22553</v>
      </c>
    </row>
    <row r="231" spans="1:7" s="1" customFormat="1" ht="10.5" customHeight="1" x14ac:dyDescent="0.25">
      <c r="A231" s="104" t="s">
        <v>53</v>
      </c>
      <c r="B231" s="62">
        <v>14</v>
      </c>
      <c r="C231" s="15">
        <v>7</v>
      </c>
      <c r="D231" s="15">
        <v>7</v>
      </c>
      <c r="E231" s="15">
        <v>6535</v>
      </c>
      <c r="F231" s="15">
        <v>3537</v>
      </c>
      <c r="G231" s="15">
        <v>2998</v>
      </c>
    </row>
    <row r="232" spans="1:7" s="1" customFormat="1" ht="10.5" customHeight="1" x14ac:dyDescent="0.25">
      <c r="A232" s="104" t="s">
        <v>52</v>
      </c>
      <c r="B232" s="62">
        <v>1056</v>
      </c>
      <c r="C232" s="15">
        <v>524</v>
      </c>
      <c r="D232" s="15">
        <v>532</v>
      </c>
      <c r="E232" s="15">
        <v>434792</v>
      </c>
      <c r="F232" s="15">
        <v>219637</v>
      </c>
      <c r="G232" s="15">
        <v>215155</v>
      </c>
    </row>
    <row r="233" spans="1:7" s="1" customFormat="1" ht="10.5" customHeight="1" x14ac:dyDescent="0.25">
      <c r="A233" s="104" t="s">
        <v>51</v>
      </c>
      <c r="B233" s="62">
        <v>13864</v>
      </c>
      <c r="C233" s="15">
        <v>6503</v>
      </c>
      <c r="D233" s="15">
        <v>7361</v>
      </c>
      <c r="E233" s="15">
        <v>5147081</v>
      </c>
      <c r="F233" s="15">
        <v>2448602</v>
      </c>
      <c r="G233" s="15">
        <v>2698479</v>
      </c>
    </row>
    <row r="234" spans="1:7" s="1" customFormat="1" ht="10.5" customHeight="1" x14ac:dyDescent="0.25">
      <c r="A234" s="50"/>
      <c r="B234" s="63"/>
      <c r="C234" s="88"/>
      <c r="D234" s="88"/>
      <c r="E234" s="88"/>
      <c r="F234" s="88"/>
      <c r="G234" s="88"/>
    </row>
    <row r="235" spans="1:7" s="1" customFormat="1" ht="10.5" customHeight="1" x14ac:dyDescent="0.25">
      <c r="A235" s="94" t="s">
        <v>130</v>
      </c>
      <c r="B235" s="66">
        <v>516</v>
      </c>
      <c r="C235" s="67">
        <v>271</v>
      </c>
      <c r="D235" s="67">
        <v>245</v>
      </c>
      <c r="E235" s="67">
        <v>566489</v>
      </c>
      <c r="F235" s="67">
        <v>282559</v>
      </c>
      <c r="G235" s="67">
        <v>283930</v>
      </c>
    </row>
    <row r="236" spans="1:7" s="1" customFormat="1" ht="10.5" customHeight="1" x14ac:dyDescent="0.25">
      <c r="A236" s="104" t="s">
        <v>55</v>
      </c>
      <c r="B236" s="62">
        <v>0</v>
      </c>
      <c r="C236" s="15">
        <v>0</v>
      </c>
      <c r="D236" s="15">
        <v>0</v>
      </c>
      <c r="E236" s="15">
        <v>1612</v>
      </c>
      <c r="F236" s="15">
        <v>866</v>
      </c>
      <c r="G236" s="15">
        <v>746</v>
      </c>
    </row>
    <row r="237" spans="1:7" s="1" customFormat="1" ht="10.5" customHeight="1" x14ac:dyDescent="0.25">
      <c r="A237" s="104" t="s">
        <v>54</v>
      </c>
      <c r="B237" s="62">
        <v>1</v>
      </c>
      <c r="C237" s="15">
        <v>0</v>
      </c>
      <c r="D237" s="15">
        <v>1</v>
      </c>
      <c r="E237" s="15">
        <v>895</v>
      </c>
      <c r="F237" s="15">
        <v>497</v>
      </c>
      <c r="G237" s="15">
        <v>398</v>
      </c>
    </row>
    <row r="238" spans="1:7" s="1" customFormat="1" ht="10.5" customHeight="1" x14ac:dyDescent="0.25">
      <c r="A238" s="104" t="s">
        <v>53</v>
      </c>
      <c r="B238" s="62">
        <v>3</v>
      </c>
      <c r="C238" s="15">
        <v>1</v>
      </c>
      <c r="D238" s="15">
        <v>2</v>
      </c>
      <c r="E238" s="15">
        <v>927</v>
      </c>
      <c r="F238" s="15">
        <v>515</v>
      </c>
      <c r="G238" s="15">
        <v>412</v>
      </c>
    </row>
    <row r="239" spans="1:7" s="1" customFormat="1" ht="10.5" customHeight="1" x14ac:dyDescent="0.25">
      <c r="A239" s="104" t="s">
        <v>52</v>
      </c>
      <c r="B239" s="62">
        <v>57</v>
      </c>
      <c r="C239" s="15">
        <v>30</v>
      </c>
      <c r="D239" s="15">
        <v>27</v>
      </c>
      <c r="E239" s="15">
        <v>49313</v>
      </c>
      <c r="F239" s="15">
        <v>26214</v>
      </c>
      <c r="G239" s="15">
        <v>23099</v>
      </c>
    </row>
    <row r="240" spans="1:7" s="1" customFormat="1" ht="10.5" customHeight="1" x14ac:dyDescent="0.25">
      <c r="A240" s="104" t="s">
        <v>51</v>
      </c>
      <c r="B240" s="62">
        <v>455</v>
      </c>
      <c r="C240" s="15">
        <v>240</v>
      </c>
      <c r="D240" s="15">
        <v>215</v>
      </c>
      <c r="E240" s="15">
        <v>513742</v>
      </c>
      <c r="F240" s="15">
        <v>254467</v>
      </c>
      <c r="G240" s="15">
        <v>259275</v>
      </c>
    </row>
    <row r="241" spans="1:7" s="1" customFormat="1" ht="3.75" customHeight="1" thickBot="1" x14ac:dyDescent="0.3">
      <c r="A241" s="107"/>
      <c r="B241" s="108"/>
      <c r="C241" s="109"/>
      <c r="D241" s="109"/>
      <c r="E241" s="76"/>
      <c r="F241" s="76"/>
      <c r="G241" s="76"/>
    </row>
    <row r="242" spans="1:7" s="1" customFormat="1" ht="5.25" customHeight="1" x14ac:dyDescent="0.25">
      <c r="A242" s="3"/>
      <c r="B242" s="2"/>
      <c r="C242" s="2"/>
      <c r="D242" s="2"/>
      <c r="E242" s="4"/>
      <c r="F242" s="4"/>
      <c r="G242" s="4"/>
    </row>
    <row r="243" spans="1:7" customFormat="1" ht="27" customHeight="1" x14ac:dyDescent="0.2">
      <c r="A243" s="204" t="s">
        <v>108</v>
      </c>
      <c r="B243" s="213"/>
      <c r="C243" s="213"/>
      <c r="D243" s="213"/>
      <c r="E243" s="213"/>
      <c r="F243" s="213"/>
      <c r="G243" s="213"/>
    </row>
    <row r="244" spans="1:7" customFormat="1" ht="13.5" x14ac:dyDescent="0.25">
      <c r="A244" s="49" t="s">
        <v>86</v>
      </c>
      <c r="B244" s="49"/>
      <c r="C244" s="49"/>
      <c r="D244" s="49"/>
      <c r="E244" s="4"/>
      <c r="F244" s="4"/>
      <c r="G244" s="4"/>
    </row>
    <row r="245" spans="1:7" customFormat="1" ht="13.5" x14ac:dyDescent="0.25">
      <c r="A245" s="49" t="s">
        <v>87</v>
      </c>
      <c r="B245" s="49"/>
      <c r="C245" s="49"/>
      <c r="D245" s="49"/>
      <c r="E245" s="4"/>
      <c r="F245" s="4"/>
      <c r="G245" s="4"/>
    </row>
    <row r="246" spans="1:7" customFormat="1" ht="25.5" customHeight="1" x14ac:dyDescent="0.25">
      <c r="A246" s="214" t="s">
        <v>118</v>
      </c>
      <c r="B246" s="213"/>
      <c r="C246" s="213"/>
      <c r="D246" s="213"/>
      <c r="E246" s="213"/>
      <c r="F246" s="213"/>
      <c r="G246" s="213"/>
    </row>
  </sheetData>
  <mergeCells count="26">
    <mergeCell ref="A194:G194"/>
    <mergeCell ref="A195:G195"/>
    <mergeCell ref="A197:A198"/>
    <mergeCell ref="B197:D197"/>
    <mergeCell ref="E197:G197"/>
    <mergeCell ref="A67:G67"/>
    <mergeCell ref="A69:A70"/>
    <mergeCell ref="B69:D69"/>
    <mergeCell ref="E69:G69"/>
    <mergeCell ref="A193:G193"/>
    <mergeCell ref="A243:G243"/>
    <mergeCell ref="A246:G246"/>
    <mergeCell ref="A1:G1"/>
    <mergeCell ref="A2:G2"/>
    <mergeCell ref="A3:G3"/>
    <mergeCell ref="A5:A6"/>
    <mergeCell ref="B5:D5"/>
    <mergeCell ref="E5:G5"/>
    <mergeCell ref="A129:G129"/>
    <mergeCell ref="A130:G130"/>
    <mergeCell ref="A131:G131"/>
    <mergeCell ref="A133:A134"/>
    <mergeCell ref="B133:D133"/>
    <mergeCell ref="E133:G133"/>
    <mergeCell ref="A65:G65"/>
    <mergeCell ref="A66:G66"/>
  </mergeCells>
  <pageMargins left="0.98425196850393704" right="0.98425196850393704" top="0.98425196850393704" bottom="0.98425196850393704" header="0.98425196850393704" footer="0.98425196850393704"/>
  <pageSetup paperSize="9" orientation="portrait" r:id="rId1"/>
  <rowBreaks count="3" manualBreakCount="3">
    <brk id="64" max="6" man="1"/>
    <brk id="128" max="6" man="1"/>
    <brk id="192" max="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595"/>
  <sheetViews>
    <sheetView view="pageBreakPreview" zoomScale="145" zoomScaleNormal="115" zoomScaleSheetLayoutView="145" workbookViewId="0">
      <selection sqref="A1:G1"/>
    </sheetView>
  </sheetViews>
  <sheetFormatPr baseColWidth="10" defaultRowHeight="11.25" x14ac:dyDescent="0.2"/>
  <cols>
    <col min="1" max="1" width="24.5703125" style="10" customWidth="1"/>
    <col min="2" max="7" width="9.28515625" style="29" customWidth="1"/>
    <col min="8" max="16384" width="11.42578125" style="10"/>
  </cols>
  <sheetData>
    <row r="1" spans="1:7" ht="12.75" customHeight="1" x14ac:dyDescent="0.2">
      <c r="A1" s="205" t="s">
        <v>138</v>
      </c>
      <c r="B1" s="205"/>
      <c r="C1" s="205"/>
      <c r="D1" s="205"/>
      <c r="E1" s="205"/>
      <c r="F1" s="205"/>
      <c r="G1" s="205"/>
    </row>
    <row r="2" spans="1:7" ht="36.75" customHeight="1" x14ac:dyDescent="0.2">
      <c r="A2" s="219" t="s">
        <v>111</v>
      </c>
      <c r="B2" s="219"/>
      <c r="C2" s="219"/>
      <c r="D2" s="219"/>
      <c r="E2" s="219"/>
      <c r="F2" s="219"/>
      <c r="G2" s="219"/>
    </row>
    <row r="3" spans="1:7" customFormat="1" ht="12.75" customHeight="1" x14ac:dyDescent="0.2">
      <c r="A3" s="207" t="s">
        <v>17</v>
      </c>
      <c r="B3" s="207"/>
      <c r="C3" s="207"/>
      <c r="D3" s="207"/>
      <c r="E3" s="207"/>
      <c r="F3" s="207"/>
      <c r="G3" s="207"/>
    </row>
    <row r="4" spans="1:7" ht="10.5" customHeight="1" thickBot="1" x14ac:dyDescent="0.25">
      <c r="A4" s="48"/>
      <c r="B4" s="48"/>
      <c r="C4" s="48"/>
      <c r="D4" s="48"/>
      <c r="E4" s="48"/>
      <c r="F4" s="48"/>
      <c r="G4" s="48"/>
    </row>
    <row r="5" spans="1:7" ht="12.75" customHeight="1" thickBot="1" x14ac:dyDescent="0.25">
      <c r="A5" s="208" t="s">
        <v>96</v>
      </c>
      <c r="B5" s="210" t="s">
        <v>117</v>
      </c>
      <c r="C5" s="211"/>
      <c r="D5" s="212"/>
      <c r="E5" s="210" t="s">
        <v>116</v>
      </c>
      <c r="F5" s="211"/>
      <c r="G5" s="212"/>
    </row>
    <row r="6" spans="1:7" ht="12.75" customHeight="1" thickBot="1" x14ac:dyDescent="0.25">
      <c r="A6" s="209"/>
      <c r="B6" s="53" t="s">
        <v>15</v>
      </c>
      <c r="C6" s="54" t="s">
        <v>14</v>
      </c>
      <c r="D6" s="110" t="s">
        <v>13</v>
      </c>
      <c r="E6" s="56" t="s">
        <v>15</v>
      </c>
      <c r="F6" s="56" t="s">
        <v>14</v>
      </c>
      <c r="G6" s="111" t="s">
        <v>13</v>
      </c>
    </row>
    <row r="7" spans="1:7" ht="3.75" customHeight="1" x14ac:dyDescent="0.2">
      <c r="A7" s="77"/>
      <c r="B7" s="14"/>
      <c r="C7" s="14"/>
      <c r="D7" s="46"/>
      <c r="E7" s="46"/>
      <c r="F7" s="46"/>
      <c r="G7" s="46"/>
    </row>
    <row r="8" spans="1:7" ht="10.5" customHeight="1" x14ac:dyDescent="0.2">
      <c r="A8" s="78" t="s">
        <v>15</v>
      </c>
      <c r="B8" s="61">
        <v>212823</v>
      </c>
      <c r="C8" s="61">
        <v>105183</v>
      </c>
      <c r="D8" s="61">
        <v>107640</v>
      </c>
      <c r="E8" s="61">
        <v>16382789</v>
      </c>
      <c r="F8" s="61">
        <v>7950827</v>
      </c>
      <c r="G8" s="61">
        <v>8431962</v>
      </c>
    </row>
    <row r="9" spans="1:7" s="1" customFormat="1" ht="10.5" customHeight="1" x14ac:dyDescent="0.25">
      <c r="A9" s="79" t="s">
        <v>50</v>
      </c>
      <c r="B9" s="15">
        <v>1075</v>
      </c>
      <c r="C9" s="15">
        <v>592</v>
      </c>
      <c r="D9" s="15">
        <v>483</v>
      </c>
      <c r="E9" s="15">
        <v>558762</v>
      </c>
      <c r="F9" s="15">
        <v>271711</v>
      </c>
      <c r="G9" s="15">
        <v>287051</v>
      </c>
    </row>
    <row r="10" spans="1:7" s="1" customFormat="1" ht="10.5" customHeight="1" x14ac:dyDescent="0.25">
      <c r="A10" s="79" t="s">
        <v>49</v>
      </c>
      <c r="B10" s="15">
        <v>183</v>
      </c>
      <c r="C10" s="15">
        <v>100</v>
      </c>
      <c r="D10" s="15">
        <v>83</v>
      </c>
      <c r="E10" s="15">
        <v>26938</v>
      </c>
      <c r="F10" s="15">
        <v>13857</v>
      </c>
      <c r="G10" s="15">
        <v>13081</v>
      </c>
    </row>
    <row r="11" spans="1:7" s="1" customFormat="1" ht="10.5" customHeight="1" x14ac:dyDescent="0.25">
      <c r="A11" s="79" t="s">
        <v>48</v>
      </c>
      <c r="B11" s="15">
        <v>47978</v>
      </c>
      <c r="C11" s="15">
        <v>23543</v>
      </c>
      <c r="D11" s="15">
        <v>24435</v>
      </c>
      <c r="E11" s="15">
        <v>2543</v>
      </c>
      <c r="F11" s="15">
        <v>1176</v>
      </c>
      <c r="G11" s="15">
        <v>1367</v>
      </c>
    </row>
    <row r="12" spans="1:7" s="1" customFormat="1" ht="10.5" customHeight="1" x14ac:dyDescent="0.25">
      <c r="A12" s="79" t="s">
        <v>47</v>
      </c>
      <c r="B12" s="15">
        <v>36516</v>
      </c>
      <c r="C12" s="15">
        <v>17953</v>
      </c>
      <c r="D12" s="15">
        <v>18563</v>
      </c>
      <c r="E12" s="15">
        <v>1088</v>
      </c>
      <c r="F12" s="15">
        <v>551</v>
      </c>
      <c r="G12" s="15">
        <v>537</v>
      </c>
    </row>
    <row r="13" spans="1:7" s="1" customFormat="1" ht="10.5" customHeight="1" x14ac:dyDescent="0.25">
      <c r="A13" s="79" t="s">
        <v>134</v>
      </c>
      <c r="B13" s="15">
        <v>22005</v>
      </c>
      <c r="C13" s="15">
        <v>10792</v>
      </c>
      <c r="D13" s="15">
        <v>11213</v>
      </c>
      <c r="E13" s="15">
        <v>1538</v>
      </c>
      <c r="F13" s="15">
        <v>782</v>
      </c>
      <c r="G13" s="15">
        <v>756</v>
      </c>
    </row>
    <row r="14" spans="1:7" s="1" customFormat="1" ht="10.5" customHeight="1" x14ac:dyDescent="0.25">
      <c r="A14" s="79" t="s">
        <v>46</v>
      </c>
      <c r="B14" s="15">
        <v>10031</v>
      </c>
      <c r="C14" s="15">
        <v>4840</v>
      </c>
      <c r="D14" s="15">
        <v>5191</v>
      </c>
      <c r="E14" s="15">
        <v>587</v>
      </c>
      <c r="F14" s="15">
        <v>296</v>
      </c>
      <c r="G14" s="15">
        <v>291</v>
      </c>
    </row>
    <row r="15" spans="1:7" s="1" customFormat="1" ht="10.5" customHeight="1" x14ac:dyDescent="0.25">
      <c r="A15" s="79" t="s">
        <v>45</v>
      </c>
      <c r="B15" s="15">
        <v>3324</v>
      </c>
      <c r="C15" s="15">
        <v>1601</v>
      </c>
      <c r="D15" s="15">
        <v>1723</v>
      </c>
      <c r="E15" s="15">
        <v>450</v>
      </c>
      <c r="F15" s="15">
        <v>241</v>
      </c>
      <c r="G15" s="15">
        <v>209</v>
      </c>
    </row>
    <row r="16" spans="1:7" s="1" customFormat="1" ht="10.5" customHeight="1" x14ac:dyDescent="0.25">
      <c r="A16" s="79" t="s">
        <v>44</v>
      </c>
      <c r="B16" s="15">
        <v>228</v>
      </c>
      <c r="C16" s="15">
        <v>133</v>
      </c>
      <c r="D16" s="15">
        <v>95</v>
      </c>
      <c r="E16" s="15">
        <v>289</v>
      </c>
      <c r="F16" s="15">
        <v>162</v>
      </c>
      <c r="G16" s="15">
        <v>127</v>
      </c>
    </row>
    <row r="17" spans="1:7" s="1" customFormat="1" ht="10.5" customHeight="1" x14ac:dyDescent="0.25">
      <c r="A17" s="79" t="s">
        <v>131</v>
      </c>
      <c r="B17" s="15">
        <v>13787</v>
      </c>
      <c r="C17" s="15">
        <v>6931</v>
      </c>
      <c r="D17" s="15">
        <v>6856</v>
      </c>
      <c r="E17" s="15">
        <v>1899</v>
      </c>
      <c r="F17" s="15">
        <v>1026</v>
      </c>
      <c r="G17" s="15">
        <v>873</v>
      </c>
    </row>
    <row r="18" spans="1:7" s="1" customFormat="1" ht="10.5" customHeight="1" x14ac:dyDescent="0.25">
      <c r="A18" s="79" t="s">
        <v>43</v>
      </c>
      <c r="B18" s="15">
        <v>77510</v>
      </c>
      <c r="C18" s="15">
        <v>38602</v>
      </c>
      <c r="D18" s="15">
        <v>38908</v>
      </c>
      <c r="E18" s="15">
        <v>15540786</v>
      </c>
      <c r="F18" s="15">
        <v>7531310</v>
      </c>
      <c r="G18" s="15">
        <v>8009476</v>
      </c>
    </row>
    <row r="19" spans="1:7" s="1" customFormat="1" ht="10.5" customHeight="1" x14ac:dyDescent="0.25">
      <c r="A19" s="79" t="s">
        <v>42</v>
      </c>
      <c r="B19" s="15">
        <v>32</v>
      </c>
      <c r="C19" s="15">
        <v>10</v>
      </c>
      <c r="D19" s="15">
        <v>22</v>
      </c>
      <c r="E19" s="15">
        <v>5851</v>
      </c>
      <c r="F19" s="15">
        <v>2654</v>
      </c>
      <c r="G19" s="15">
        <v>3197</v>
      </c>
    </row>
    <row r="20" spans="1:7" s="1" customFormat="1" ht="10.5" customHeight="1" x14ac:dyDescent="0.25">
      <c r="A20" s="79" t="s">
        <v>41</v>
      </c>
      <c r="B20" s="15">
        <v>46</v>
      </c>
      <c r="C20" s="15">
        <v>24</v>
      </c>
      <c r="D20" s="15">
        <v>22</v>
      </c>
      <c r="E20" s="15">
        <v>35838</v>
      </c>
      <c r="F20" s="15">
        <v>19331</v>
      </c>
      <c r="G20" s="15">
        <v>16507</v>
      </c>
    </row>
    <row r="21" spans="1:7" s="1" customFormat="1" ht="10.5" customHeight="1" x14ac:dyDescent="0.25">
      <c r="A21" s="79" t="s">
        <v>40</v>
      </c>
      <c r="B21" s="15">
        <v>38</v>
      </c>
      <c r="C21" s="15">
        <v>23</v>
      </c>
      <c r="D21" s="15">
        <v>15</v>
      </c>
      <c r="E21" s="15">
        <v>7079</v>
      </c>
      <c r="F21" s="15">
        <v>3821</v>
      </c>
      <c r="G21" s="15">
        <v>3258</v>
      </c>
    </row>
    <row r="22" spans="1:7" s="1" customFormat="1" ht="10.5" customHeight="1" x14ac:dyDescent="0.25">
      <c r="A22" s="79" t="s">
        <v>39</v>
      </c>
      <c r="B22" s="15">
        <v>62</v>
      </c>
      <c r="C22" s="15">
        <v>33</v>
      </c>
      <c r="D22" s="15">
        <v>29</v>
      </c>
      <c r="E22" s="15">
        <v>16036</v>
      </c>
      <c r="F22" s="15">
        <v>8580</v>
      </c>
      <c r="G22" s="15">
        <v>7456</v>
      </c>
    </row>
    <row r="23" spans="1:7" s="1" customFormat="1" ht="10.5" customHeight="1" x14ac:dyDescent="0.25">
      <c r="A23" s="79" t="s">
        <v>38</v>
      </c>
      <c r="B23" s="15">
        <v>8</v>
      </c>
      <c r="C23" s="15">
        <v>6</v>
      </c>
      <c r="D23" s="15">
        <v>2</v>
      </c>
      <c r="E23" s="15">
        <v>183105</v>
      </c>
      <c r="F23" s="15">
        <v>95329</v>
      </c>
      <c r="G23" s="15">
        <v>87776</v>
      </c>
    </row>
    <row r="24" spans="1:7" s="1" customFormat="1" ht="10.5" customHeight="1" x14ac:dyDescent="0.25">
      <c r="A24" s="79"/>
      <c r="B24" s="112"/>
      <c r="C24" s="112"/>
      <c r="D24" s="112"/>
      <c r="E24" s="112"/>
      <c r="F24" s="112"/>
      <c r="G24" s="112"/>
    </row>
    <row r="25" spans="1:7" s="1" customFormat="1" ht="10.5" customHeight="1" x14ac:dyDescent="0.25">
      <c r="A25" s="113" t="s">
        <v>37</v>
      </c>
      <c r="B25" s="67">
        <v>56337</v>
      </c>
      <c r="C25" s="67">
        <v>26827</v>
      </c>
      <c r="D25" s="67">
        <v>29510</v>
      </c>
      <c r="E25" s="67">
        <v>13996109</v>
      </c>
      <c r="F25" s="67">
        <v>6726342</v>
      </c>
      <c r="G25" s="67">
        <v>7269767</v>
      </c>
    </row>
    <row r="26" spans="1:7" s="1" customFormat="1" ht="10.5" customHeight="1" x14ac:dyDescent="0.25">
      <c r="A26" s="79" t="s">
        <v>50</v>
      </c>
      <c r="B26" s="15">
        <v>518</v>
      </c>
      <c r="C26" s="15">
        <v>287</v>
      </c>
      <c r="D26" s="15">
        <v>231</v>
      </c>
      <c r="E26" s="15">
        <v>415262</v>
      </c>
      <c r="F26" s="15">
        <v>199393</v>
      </c>
      <c r="G26" s="15">
        <v>215869</v>
      </c>
    </row>
    <row r="27" spans="1:7" s="1" customFormat="1" ht="10.5" customHeight="1" x14ac:dyDescent="0.25">
      <c r="A27" s="79" t="s">
        <v>49</v>
      </c>
      <c r="B27" s="15">
        <v>39</v>
      </c>
      <c r="C27" s="15">
        <v>18</v>
      </c>
      <c r="D27" s="15">
        <v>21</v>
      </c>
      <c r="E27" s="15">
        <v>24177</v>
      </c>
      <c r="F27" s="15">
        <v>12309</v>
      </c>
      <c r="G27" s="15">
        <v>11868</v>
      </c>
    </row>
    <row r="28" spans="1:7" s="1" customFormat="1" ht="10.5" customHeight="1" x14ac:dyDescent="0.25">
      <c r="A28" s="79" t="s">
        <v>48</v>
      </c>
      <c r="B28" s="15">
        <v>4458</v>
      </c>
      <c r="C28" s="15">
        <v>1870</v>
      </c>
      <c r="D28" s="15">
        <v>2588</v>
      </c>
      <c r="E28" s="15">
        <v>1115</v>
      </c>
      <c r="F28" s="15">
        <v>444</v>
      </c>
      <c r="G28" s="15">
        <v>671</v>
      </c>
    </row>
    <row r="29" spans="1:7" s="1" customFormat="1" ht="10.5" customHeight="1" x14ac:dyDescent="0.25">
      <c r="A29" s="79" t="s">
        <v>47</v>
      </c>
      <c r="B29" s="15">
        <v>4546</v>
      </c>
      <c r="C29" s="15">
        <v>2130</v>
      </c>
      <c r="D29" s="15">
        <v>2416</v>
      </c>
      <c r="E29" s="15">
        <v>811</v>
      </c>
      <c r="F29" s="15">
        <v>414</v>
      </c>
      <c r="G29" s="15">
        <v>397</v>
      </c>
    </row>
    <row r="30" spans="1:7" s="1" customFormat="1" ht="10.5" customHeight="1" x14ac:dyDescent="0.25">
      <c r="A30" s="79" t="s">
        <v>134</v>
      </c>
      <c r="B30" s="15">
        <v>9983</v>
      </c>
      <c r="C30" s="15">
        <v>4688</v>
      </c>
      <c r="D30" s="15">
        <v>5295</v>
      </c>
      <c r="E30" s="15">
        <v>1292</v>
      </c>
      <c r="F30" s="15">
        <v>649</v>
      </c>
      <c r="G30" s="15">
        <v>643</v>
      </c>
    </row>
    <row r="31" spans="1:7" s="1" customFormat="1" ht="10.5" customHeight="1" x14ac:dyDescent="0.25">
      <c r="A31" s="79" t="s">
        <v>46</v>
      </c>
      <c r="B31" s="15">
        <v>446</v>
      </c>
      <c r="C31" s="15">
        <v>222</v>
      </c>
      <c r="D31" s="15">
        <v>224</v>
      </c>
      <c r="E31" s="15">
        <v>312</v>
      </c>
      <c r="F31" s="15">
        <v>148</v>
      </c>
      <c r="G31" s="15">
        <v>164</v>
      </c>
    </row>
    <row r="32" spans="1:7" s="1" customFormat="1" ht="10.5" customHeight="1" x14ac:dyDescent="0.25">
      <c r="A32" s="79" t="s">
        <v>45</v>
      </c>
      <c r="B32" s="15">
        <v>474</v>
      </c>
      <c r="C32" s="15">
        <v>196</v>
      </c>
      <c r="D32" s="15">
        <v>278</v>
      </c>
      <c r="E32" s="15">
        <v>246</v>
      </c>
      <c r="F32" s="15">
        <v>128</v>
      </c>
      <c r="G32" s="15">
        <v>118</v>
      </c>
    </row>
    <row r="33" spans="1:7" s="1" customFormat="1" ht="10.5" customHeight="1" x14ac:dyDescent="0.25">
      <c r="A33" s="79" t="s">
        <v>44</v>
      </c>
      <c r="B33" s="15">
        <v>151</v>
      </c>
      <c r="C33" s="15">
        <v>94</v>
      </c>
      <c r="D33" s="15">
        <v>57</v>
      </c>
      <c r="E33" s="15">
        <v>185</v>
      </c>
      <c r="F33" s="15">
        <v>107</v>
      </c>
      <c r="G33" s="15">
        <v>78</v>
      </c>
    </row>
    <row r="34" spans="1:7" s="1" customFormat="1" ht="10.5" customHeight="1" x14ac:dyDescent="0.25">
      <c r="A34" s="79" t="s">
        <v>131</v>
      </c>
      <c r="B34" s="15">
        <v>3190</v>
      </c>
      <c r="C34" s="15">
        <v>1567</v>
      </c>
      <c r="D34" s="15">
        <v>1623</v>
      </c>
      <c r="E34" s="15">
        <v>1292</v>
      </c>
      <c r="F34" s="15">
        <v>711</v>
      </c>
      <c r="G34" s="15">
        <v>581</v>
      </c>
    </row>
    <row r="35" spans="1:7" s="1" customFormat="1" ht="10.5" customHeight="1" x14ac:dyDescent="0.25">
      <c r="A35" s="79" t="s">
        <v>43</v>
      </c>
      <c r="B35" s="15">
        <v>32444</v>
      </c>
      <c r="C35" s="15">
        <v>15711</v>
      </c>
      <c r="D35" s="15">
        <v>16733</v>
      </c>
      <c r="E35" s="15">
        <v>13343706</v>
      </c>
      <c r="F35" s="15">
        <v>6403646</v>
      </c>
      <c r="G35" s="15">
        <v>6940060</v>
      </c>
    </row>
    <row r="36" spans="1:7" s="1" customFormat="1" ht="10.5" customHeight="1" x14ac:dyDescent="0.25">
      <c r="A36" s="79" t="s">
        <v>42</v>
      </c>
      <c r="B36" s="15">
        <v>20</v>
      </c>
      <c r="C36" s="15">
        <v>6</v>
      </c>
      <c r="D36" s="15">
        <v>14</v>
      </c>
      <c r="E36" s="15">
        <v>5416</v>
      </c>
      <c r="F36" s="15">
        <v>2456</v>
      </c>
      <c r="G36" s="15">
        <v>2960</v>
      </c>
    </row>
    <row r="37" spans="1:7" s="1" customFormat="1" ht="10.5" customHeight="1" x14ac:dyDescent="0.25">
      <c r="A37" s="79" t="s">
        <v>41</v>
      </c>
      <c r="B37" s="15">
        <v>33</v>
      </c>
      <c r="C37" s="15">
        <v>18</v>
      </c>
      <c r="D37" s="15">
        <v>15</v>
      </c>
      <c r="E37" s="15">
        <v>34778</v>
      </c>
      <c r="F37" s="15">
        <v>18759</v>
      </c>
      <c r="G37" s="15">
        <v>16019</v>
      </c>
    </row>
    <row r="38" spans="1:7" s="1" customFormat="1" ht="10.5" customHeight="1" x14ac:dyDescent="0.25">
      <c r="A38" s="79" t="s">
        <v>40</v>
      </c>
      <c r="B38" s="15">
        <v>15</v>
      </c>
      <c r="C38" s="15">
        <v>8</v>
      </c>
      <c r="D38" s="15">
        <v>7</v>
      </c>
      <c r="E38" s="15">
        <v>5396</v>
      </c>
      <c r="F38" s="15">
        <v>2961</v>
      </c>
      <c r="G38" s="15">
        <v>2435</v>
      </c>
    </row>
    <row r="39" spans="1:7" s="1" customFormat="1" ht="10.5" customHeight="1" x14ac:dyDescent="0.25">
      <c r="A39" s="79" t="s">
        <v>39</v>
      </c>
      <c r="B39" s="15">
        <v>13</v>
      </c>
      <c r="C39" s="15">
        <v>7</v>
      </c>
      <c r="D39" s="15">
        <v>6</v>
      </c>
      <c r="E39" s="15">
        <v>11466</v>
      </c>
      <c r="F39" s="15">
        <v>6273</v>
      </c>
      <c r="G39" s="15">
        <v>5193</v>
      </c>
    </row>
    <row r="40" spans="1:7" s="1" customFormat="1" ht="10.5" customHeight="1" x14ac:dyDescent="0.25">
      <c r="A40" s="79" t="s">
        <v>38</v>
      </c>
      <c r="B40" s="15">
        <v>7</v>
      </c>
      <c r="C40" s="15">
        <v>5</v>
      </c>
      <c r="D40" s="15">
        <v>2</v>
      </c>
      <c r="E40" s="15">
        <v>150655</v>
      </c>
      <c r="F40" s="15">
        <v>77944</v>
      </c>
      <c r="G40" s="15">
        <v>72711</v>
      </c>
    </row>
    <row r="41" spans="1:7" s="1" customFormat="1" ht="10.5" customHeight="1" x14ac:dyDescent="0.25">
      <c r="A41" s="79"/>
      <c r="B41" s="112"/>
      <c r="C41" s="112"/>
      <c r="D41" s="112"/>
      <c r="E41" s="112"/>
      <c r="F41" s="112"/>
      <c r="G41" s="112"/>
    </row>
    <row r="42" spans="1:7" s="1" customFormat="1" ht="10.5" customHeight="1" x14ac:dyDescent="0.25">
      <c r="A42" s="113" t="s">
        <v>36</v>
      </c>
      <c r="B42" s="67">
        <v>156486</v>
      </c>
      <c r="C42" s="67">
        <v>78356</v>
      </c>
      <c r="D42" s="67">
        <v>78130</v>
      </c>
      <c r="E42" s="67">
        <v>2386680</v>
      </c>
      <c r="F42" s="67">
        <v>1224485</v>
      </c>
      <c r="G42" s="67">
        <v>1162195</v>
      </c>
    </row>
    <row r="43" spans="1:7" s="1" customFormat="1" ht="10.5" customHeight="1" x14ac:dyDescent="0.25">
      <c r="A43" s="79" t="s">
        <v>50</v>
      </c>
      <c r="B43" s="15">
        <v>557</v>
      </c>
      <c r="C43" s="15">
        <v>305</v>
      </c>
      <c r="D43" s="15">
        <v>252</v>
      </c>
      <c r="E43" s="15">
        <v>143500</v>
      </c>
      <c r="F43" s="15">
        <v>72318</v>
      </c>
      <c r="G43" s="15">
        <v>71182</v>
      </c>
    </row>
    <row r="44" spans="1:7" s="1" customFormat="1" ht="10.5" customHeight="1" x14ac:dyDescent="0.25">
      <c r="A44" s="79" t="s">
        <v>49</v>
      </c>
      <c r="B44" s="15">
        <v>144</v>
      </c>
      <c r="C44" s="15">
        <v>82</v>
      </c>
      <c r="D44" s="15">
        <v>62</v>
      </c>
      <c r="E44" s="15">
        <v>2761</v>
      </c>
      <c r="F44" s="15">
        <v>1548</v>
      </c>
      <c r="G44" s="15">
        <v>1213</v>
      </c>
    </row>
    <row r="45" spans="1:7" s="1" customFormat="1" ht="10.5" customHeight="1" x14ac:dyDescent="0.25">
      <c r="A45" s="79" t="s">
        <v>48</v>
      </c>
      <c r="B45" s="15">
        <v>43520</v>
      </c>
      <c r="C45" s="15">
        <v>21673</v>
      </c>
      <c r="D45" s="15">
        <v>21847</v>
      </c>
      <c r="E45" s="15">
        <v>1428</v>
      </c>
      <c r="F45" s="15">
        <v>732</v>
      </c>
      <c r="G45" s="15">
        <v>696</v>
      </c>
    </row>
    <row r="46" spans="1:7" s="1" customFormat="1" ht="10.5" customHeight="1" x14ac:dyDescent="0.25">
      <c r="A46" s="79" t="s">
        <v>47</v>
      </c>
      <c r="B46" s="15">
        <v>31970</v>
      </c>
      <c r="C46" s="15">
        <v>15823</v>
      </c>
      <c r="D46" s="15">
        <v>16147</v>
      </c>
      <c r="E46" s="15">
        <v>277</v>
      </c>
      <c r="F46" s="15">
        <v>137</v>
      </c>
      <c r="G46" s="15">
        <v>140</v>
      </c>
    </row>
    <row r="47" spans="1:7" s="1" customFormat="1" ht="10.5" customHeight="1" x14ac:dyDescent="0.25">
      <c r="A47" s="79" t="s">
        <v>134</v>
      </c>
      <c r="B47" s="15">
        <v>12022</v>
      </c>
      <c r="C47" s="15">
        <v>6104</v>
      </c>
      <c r="D47" s="15">
        <v>5918</v>
      </c>
      <c r="E47" s="15">
        <v>246</v>
      </c>
      <c r="F47" s="15">
        <v>133</v>
      </c>
      <c r="G47" s="15">
        <v>113</v>
      </c>
    </row>
    <row r="48" spans="1:7" s="1" customFormat="1" ht="10.5" customHeight="1" x14ac:dyDescent="0.25">
      <c r="A48" s="79" t="s">
        <v>46</v>
      </c>
      <c r="B48" s="15">
        <v>9585</v>
      </c>
      <c r="C48" s="15">
        <v>4618</v>
      </c>
      <c r="D48" s="15">
        <v>4967</v>
      </c>
      <c r="E48" s="15">
        <v>275</v>
      </c>
      <c r="F48" s="15">
        <v>148</v>
      </c>
      <c r="G48" s="15">
        <v>127</v>
      </c>
    </row>
    <row r="49" spans="1:7" s="1" customFormat="1" ht="10.5" customHeight="1" x14ac:dyDescent="0.25">
      <c r="A49" s="79" t="s">
        <v>45</v>
      </c>
      <c r="B49" s="15">
        <v>2850</v>
      </c>
      <c r="C49" s="15">
        <v>1405</v>
      </c>
      <c r="D49" s="15">
        <v>1445</v>
      </c>
      <c r="E49" s="15">
        <v>204</v>
      </c>
      <c r="F49" s="15">
        <v>113</v>
      </c>
      <c r="G49" s="15">
        <v>91</v>
      </c>
    </row>
    <row r="50" spans="1:7" s="1" customFormat="1" ht="10.5" customHeight="1" x14ac:dyDescent="0.25">
      <c r="A50" s="79" t="s">
        <v>44</v>
      </c>
      <c r="B50" s="15">
        <v>77</v>
      </c>
      <c r="C50" s="15">
        <v>39</v>
      </c>
      <c r="D50" s="15">
        <v>38</v>
      </c>
      <c r="E50" s="15">
        <v>104</v>
      </c>
      <c r="F50" s="15">
        <v>55</v>
      </c>
      <c r="G50" s="15">
        <v>49</v>
      </c>
    </row>
    <row r="51" spans="1:7" s="1" customFormat="1" ht="10.5" customHeight="1" x14ac:dyDescent="0.25">
      <c r="A51" s="79" t="s">
        <v>131</v>
      </c>
      <c r="B51" s="15">
        <v>10597</v>
      </c>
      <c r="C51" s="15">
        <v>5364</v>
      </c>
      <c r="D51" s="15">
        <v>5233</v>
      </c>
      <c r="E51" s="15">
        <v>607</v>
      </c>
      <c r="F51" s="15">
        <v>315</v>
      </c>
      <c r="G51" s="15">
        <v>292</v>
      </c>
    </row>
    <row r="52" spans="1:7" s="1" customFormat="1" ht="10.5" customHeight="1" x14ac:dyDescent="0.25">
      <c r="A52" s="79" t="s">
        <v>43</v>
      </c>
      <c r="B52" s="15">
        <v>45066</v>
      </c>
      <c r="C52" s="15">
        <v>22891</v>
      </c>
      <c r="D52" s="15">
        <v>22175</v>
      </c>
      <c r="E52" s="15">
        <v>2197080</v>
      </c>
      <c r="F52" s="15">
        <v>1127664</v>
      </c>
      <c r="G52" s="15">
        <v>1069416</v>
      </c>
    </row>
    <row r="53" spans="1:7" s="1" customFormat="1" ht="10.5" customHeight="1" x14ac:dyDescent="0.25">
      <c r="A53" s="79" t="s">
        <v>42</v>
      </c>
      <c r="B53" s="15">
        <v>12</v>
      </c>
      <c r="C53" s="15">
        <v>4</v>
      </c>
      <c r="D53" s="15">
        <v>8</v>
      </c>
      <c r="E53" s="15">
        <v>435</v>
      </c>
      <c r="F53" s="15">
        <v>198</v>
      </c>
      <c r="G53" s="15">
        <v>237</v>
      </c>
    </row>
    <row r="54" spans="1:7" s="1" customFormat="1" ht="10.5" customHeight="1" x14ac:dyDescent="0.25">
      <c r="A54" s="79" t="s">
        <v>41</v>
      </c>
      <c r="B54" s="15">
        <v>13</v>
      </c>
      <c r="C54" s="15">
        <v>6</v>
      </c>
      <c r="D54" s="15">
        <v>7</v>
      </c>
      <c r="E54" s="15">
        <v>1060</v>
      </c>
      <c r="F54" s="15">
        <v>572</v>
      </c>
      <c r="G54" s="15">
        <v>488</v>
      </c>
    </row>
    <row r="55" spans="1:7" s="1" customFormat="1" ht="10.5" customHeight="1" x14ac:dyDescent="0.25">
      <c r="A55" s="79" t="s">
        <v>40</v>
      </c>
      <c r="B55" s="15">
        <v>23</v>
      </c>
      <c r="C55" s="15">
        <v>15</v>
      </c>
      <c r="D55" s="15">
        <v>8</v>
      </c>
      <c r="E55" s="15">
        <v>1683</v>
      </c>
      <c r="F55" s="15">
        <v>860</v>
      </c>
      <c r="G55" s="15">
        <v>823</v>
      </c>
    </row>
    <row r="56" spans="1:7" s="1" customFormat="1" ht="10.5" customHeight="1" x14ac:dyDescent="0.25">
      <c r="A56" s="79" t="s">
        <v>39</v>
      </c>
      <c r="B56" s="15">
        <v>49</v>
      </c>
      <c r="C56" s="15">
        <v>26</v>
      </c>
      <c r="D56" s="15">
        <v>23</v>
      </c>
      <c r="E56" s="15">
        <v>4570</v>
      </c>
      <c r="F56" s="15">
        <v>2307</v>
      </c>
      <c r="G56" s="15">
        <v>2263</v>
      </c>
    </row>
    <row r="57" spans="1:7" s="1" customFormat="1" ht="10.5" customHeight="1" x14ac:dyDescent="0.25">
      <c r="A57" s="79" t="s">
        <v>38</v>
      </c>
      <c r="B57" s="15">
        <v>1</v>
      </c>
      <c r="C57" s="15">
        <v>1</v>
      </c>
      <c r="D57" s="15">
        <v>0</v>
      </c>
      <c r="E57" s="15">
        <v>32450</v>
      </c>
      <c r="F57" s="15">
        <v>17385</v>
      </c>
      <c r="G57" s="15">
        <v>15065</v>
      </c>
    </row>
    <row r="58" spans="1:7" s="1" customFormat="1" ht="3.75" customHeight="1" thickBot="1" x14ac:dyDescent="0.3">
      <c r="A58" s="83"/>
      <c r="B58" s="74"/>
      <c r="C58" s="74"/>
      <c r="D58" s="75"/>
      <c r="E58" s="76"/>
      <c r="F58" s="76"/>
      <c r="G58" s="76"/>
    </row>
    <row r="59" spans="1:7" s="1" customFormat="1" ht="10.5" customHeight="1" x14ac:dyDescent="0.25">
      <c r="A59" s="48"/>
      <c r="B59" s="7"/>
      <c r="C59" s="7"/>
      <c r="D59" s="6"/>
      <c r="E59" s="28"/>
      <c r="F59" s="28"/>
      <c r="G59" s="7" t="s">
        <v>83</v>
      </c>
    </row>
    <row r="60" spans="1:7" ht="12.75" customHeight="1" x14ac:dyDescent="0.2">
      <c r="A60" s="205" t="str">
        <f>A$1</f>
        <v>CUADRO Nº 2.3</v>
      </c>
      <c r="B60" s="205"/>
      <c r="C60" s="205"/>
      <c r="D60" s="205"/>
      <c r="E60" s="205"/>
      <c r="F60" s="205"/>
      <c r="G60" s="205"/>
    </row>
    <row r="61" spans="1:7" ht="20.25" customHeight="1" x14ac:dyDescent="0.2">
      <c r="A61" s="219" t="str">
        <f>A$2</f>
        <v>PERÚ: POBLACIÓN CENSADA INDÍGENA U ORIGINARIA DE LA AMAZONÍA, BLANCA(O), MESTIZA(O) Y OTRA(O) DE 12 Y MÁS AÑOS DE EDAD, POR SEXO, SEGÚN LENGUA O IDIOMA MATERNA APRENDIDA EN LA NIÑEZ, ÁREA DE RESIDENCIA Y DEPARTAMENTO, 2017</v>
      </c>
      <c r="B61" s="219"/>
      <c r="C61" s="219"/>
      <c r="D61" s="219"/>
      <c r="E61" s="219"/>
      <c r="F61" s="219"/>
      <c r="G61" s="219"/>
    </row>
    <row r="62" spans="1:7" customFormat="1" ht="12.75" customHeight="1" x14ac:dyDescent="0.2">
      <c r="A62" s="207" t="str">
        <f>A$3</f>
        <v>(Cifras absolutas)</v>
      </c>
      <c r="B62" s="207"/>
      <c r="C62" s="207"/>
      <c r="D62" s="207"/>
      <c r="E62" s="207"/>
      <c r="F62" s="207"/>
      <c r="G62" s="207"/>
    </row>
    <row r="63" spans="1:7" ht="10.5" customHeight="1" thickBot="1" x14ac:dyDescent="0.25">
      <c r="A63" s="48"/>
      <c r="B63" s="48"/>
      <c r="C63" s="48"/>
      <c r="D63" s="48"/>
      <c r="E63" s="48"/>
      <c r="F63" s="48"/>
      <c r="G63" s="48"/>
    </row>
    <row r="64" spans="1:7" ht="12.75" customHeight="1" thickBot="1" x14ac:dyDescent="0.25">
      <c r="A64" s="220" t="str">
        <f>A$5</f>
        <v>Lengua o idioma materna aprendida en la niñez / Área de residencia y departamento</v>
      </c>
      <c r="B64" s="210" t="str">
        <f>B$5</f>
        <v>Indígena u originaria de la Amazonía</v>
      </c>
      <c r="C64" s="211"/>
      <c r="D64" s="212"/>
      <c r="E64" s="210" t="s">
        <v>116</v>
      </c>
      <c r="F64" s="211"/>
      <c r="G64" s="212"/>
    </row>
    <row r="65" spans="1:7" ht="12.75" customHeight="1" thickBot="1" x14ac:dyDescent="0.25">
      <c r="A65" s="220"/>
      <c r="B65" s="53" t="str">
        <f t="shared" ref="B65:G65" si="0">B$6</f>
        <v>Total</v>
      </c>
      <c r="C65" s="54" t="str">
        <f t="shared" si="0"/>
        <v>Hombre</v>
      </c>
      <c r="D65" s="110" t="str">
        <f t="shared" si="0"/>
        <v>Mujer</v>
      </c>
      <c r="E65" s="54" t="str">
        <f t="shared" si="0"/>
        <v>Total</v>
      </c>
      <c r="F65" s="54" t="str">
        <f t="shared" si="0"/>
        <v>Hombre</v>
      </c>
      <c r="G65" s="110" t="str">
        <f t="shared" si="0"/>
        <v>Mujer</v>
      </c>
    </row>
    <row r="66" spans="1:7" ht="3.75" customHeight="1" x14ac:dyDescent="0.2">
      <c r="A66" s="77"/>
      <c r="B66" s="14"/>
      <c r="C66" s="14"/>
      <c r="D66" s="46"/>
      <c r="E66" s="46"/>
      <c r="F66" s="46"/>
      <c r="G66" s="46"/>
    </row>
    <row r="67" spans="1:7" s="1" customFormat="1" ht="10.5" customHeight="1" x14ac:dyDescent="0.25">
      <c r="A67" s="78" t="s">
        <v>35</v>
      </c>
      <c r="B67" s="61">
        <v>34958</v>
      </c>
      <c r="C67" s="61">
        <v>17070</v>
      </c>
      <c r="D67" s="61">
        <v>17888</v>
      </c>
      <c r="E67" s="61">
        <v>228548</v>
      </c>
      <c r="F67" s="61">
        <v>115326</v>
      </c>
      <c r="G67" s="61">
        <v>113222</v>
      </c>
    </row>
    <row r="68" spans="1:7" s="1" customFormat="1" ht="10.5" customHeight="1" x14ac:dyDescent="0.25">
      <c r="A68" s="79" t="s">
        <v>50</v>
      </c>
      <c r="B68" s="15">
        <v>3</v>
      </c>
      <c r="C68" s="15">
        <v>2</v>
      </c>
      <c r="D68" s="15">
        <v>1</v>
      </c>
      <c r="E68" s="15">
        <v>242</v>
      </c>
      <c r="F68" s="15">
        <v>108</v>
      </c>
      <c r="G68" s="15">
        <v>134</v>
      </c>
    </row>
    <row r="69" spans="1:7" s="1" customFormat="1" ht="10.5" customHeight="1" x14ac:dyDescent="0.25">
      <c r="A69" s="79" t="s">
        <v>49</v>
      </c>
      <c r="B69" s="15">
        <v>2</v>
      </c>
      <c r="C69" s="15">
        <v>1</v>
      </c>
      <c r="D69" s="15">
        <v>1</v>
      </c>
      <c r="E69" s="15">
        <v>10</v>
      </c>
      <c r="F69" s="15">
        <v>8</v>
      </c>
      <c r="G69" s="15">
        <v>2</v>
      </c>
    </row>
    <row r="70" spans="1:7" s="1" customFormat="1" ht="10.5" customHeight="1" x14ac:dyDescent="0.25">
      <c r="A70" s="79" t="s">
        <v>48</v>
      </c>
      <c r="B70" s="15">
        <v>69</v>
      </c>
      <c r="C70" s="15">
        <v>29</v>
      </c>
      <c r="D70" s="15">
        <v>40</v>
      </c>
      <c r="E70" s="15">
        <v>4</v>
      </c>
      <c r="F70" s="15">
        <v>2</v>
      </c>
      <c r="G70" s="15">
        <v>2</v>
      </c>
    </row>
    <row r="71" spans="1:7" s="1" customFormat="1" ht="10.5" customHeight="1" x14ac:dyDescent="0.25">
      <c r="A71" s="79" t="s">
        <v>47</v>
      </c>
      <c r="B71" s="15">
        <v>28845</v>
      </c>
      <c r="C71" s="15">
        <v>14117</v>
      </c>
      <c r="D71" s="15">
        <v>14728</v>
      </c>
      <c r="E71" s="15">
        <v>254</v>
      </c>
      <c r="F71" s="15">
        <v>121</v>
      </c>
      <c r="G71" s="15">
        <v>133</v>
      </c>
    </row>
    <row r="72" spans="1:7" s="1" customFormat="1" ht="10.5" customHeight="1" x14ac:dyDescent="0.25">
      <c r="A72" s="79" t="s">
        <v>134</v>
      </c>
      <c r="B72" s="15">
        <v>28</v>
      </c>
      <c r="C72" s="15">
        <v>11</v>
      </c>
      <c r="D72" s="15">
        <v>17</v>
      </c>
      <c r="E72" s="15">
        <v>5</v>
      </c>
      <c r="F72" s="15">
        <v>2</v>
      </c>
      <c r="G72" s="15">
        <v>3</v>
      </c>
    </row>
    <row r="73" spans="1:7" s="1" customFormat="1" ht="10.5" customHeight="1" x14ac:dyDescent="0.25">
      <c r="A73" s="79" t="s">
        <v>46</v>
      </c>
      <c r="B73" s="15">
        <v>8</v>
      </c>
      <c r="C73" s="15">
        <v>1</v>
      </c>
      <c r="D73" s="15">
        <v>7</v>
      </c>
      <c r="E73" s="15">
        <v>2</v>
      </c>
      <c r="F73" s="15">
        <v>0</v>
      </c>
      <c r="G73" s="15">
        <v>2</v>
      </c>
    </row>
    <row r="74" spans="1:7" s="1" customFormat="1" ht="10.5" customHeight="1" x14ac:dyDescent="0.25">
      <c r="A74" s="79" t="s">
        <v>45</v>
      </c>
      <c r="B74" s="15">
        <v>1</v>
      </c>
      <c r="C74" s="15">
        <v>1</v>
      </c>
      <c r="D74" s="15">
        <v>0</v>
      </c>
      <c r="E74" s="15">
        <v>2</v>
      </c>
      <c r="F74" s="15">
        <v>1</v>
      </c>
      <c r="G74" s="15">
        <v>1</v>
      </c>
    </row>
    <row r="75" spans="1:7" s="1" customFormat="1" ht="10.5" customHeight="1" x14ac:dyDescent="0.25">
      <c r="A75" s="79" t="s">
        <v>44</v>
      </c>
      <c r="B75" s="15">
        <v>2</v>
      </c>
      <c r="C75" s="15">
        <v>2</v>
      </c>
      <c r="D75" s="15">
        <v>0</v>
      </c>
      <c r="E75" s="15">
        <v>2</v>
      </c>
      <c r="F75" s="15">
        <v>2</v>
      </c>
      <c r="G75" s="15">
        <v>0</v>
      </c>
    </row>
    <row r="76" spans="1:7" s="1" customFormat="1" ht="10.5" customHeight="1" x14ac:dyDescent="0.25">
      <c r="A76" s="79" t="s">
        <v>131</v>
      </c>
      <c r="B76" s="15">
        <v>230</v>
      </c>
      <c r="C76" s="15">
        <v>113</v>
      </c>
      <c r="D76" s="15">
        <v>117</v>
      </c>
      <c r="E76" s="15">
        <v>13</v>
      </c>
      <c r="F76" s="15">
        <v>6</v>
      </c>
      <c r="G76" s="15">
        <v>7</v>
      </c>
    </row>
    <row r="77" spans="1:7" s="1" customFormat="1" ht="10.5" customHeight="1" x14ac:dyDescent="0.25">
      <c r="A77" s="79" t="s">
        <v>43</v>
      </c>
      <c r="B77" s="15">
        <v>5756</v>
      </c>
      <c r="C77" s="15">
        <v>2784</v>
      </c>
      <c r="D77" s="15">
        <v>2972</v>
      </c>
      <c r="E77" s="15">
        <v>222305</v>
      </c>
      <c r="F77" s="15">
        <v>112024</v>
      </c>
      <c r="G77" s="15">
        <v>110281</v>
      </c>
    </row>
    <row r="78" spans="1:7" s="1" customFormat="1" ht="10.5" customHeight="1" x14ac:dyDescent="0.25">
      <c r="A78" s="79" t="s">
        <v>42</v>
      </c>
      <c r="B78" s="15">
        <v>1</v>
      </c>
      <c r="C78" s="15">
        <v>1</v>
      </c>
      <c r="D78" s="15">
        <v>0</v>
      </c>
      <c r="E78" s="15">
        <v>26</v>
      </c>
      <c r="F78" s="15">
        <v>8</v>
      </c>
      <c r="G78" s="15">
        <v>18</v>
      </c>
    </row>
    <row r="79" spans="1:7" s="1" customFormat="1" ht="10.5" customHeight="1" x14ac:dyDescent="0.25">
      <c r="A79" s="79" t="s">
        <v>41</v>
      </c>
      <c r="B79" s="15">
        <v>0</v>
      </c>
      <c r="C79" s="15">
        <v>0</v>
      </c>
      <c r="D79" s="15">
        <v>0</v>
      </c>
      <c r="E79" s="15">
        <v>73</v>
      </c>
      <c r="F79" s="15">
        <v>36</v>
      </c>
      <c r="G79" s="15">
        <v>37</v>
      </c>
    </row>
    <row r="80" spans="1:7" s="1" customFormat="1" ht="10.5" customHeight="1" x14ac:dyDescent="0.25">
      <c r="A80" s="79" t="s">
        <v>40</v>
      </c>
      <c r="B80" s="15">
        <v>2</v>
      </c>
      <c r="C80" s="15">
        <v>1</v>
      </c>
      <c r="D80" s="15">
        <v>1</v>
      </c>
      <c r="E80" s="15">
        <v>197</v>
      </c>
      <c r="F80" s="15">
        <v>100</v>
      </c>
      <c r="G80" s="15">
        <v>97</v>
      </c>
    </row>
    <row r="81" spans="1:7" s="1" customFormat="1" ht="10.5" customHeight="1" x14ac:dyDescent="0.25">
      <c r="A81" s="79" t="s">
        <v>39</v>
      </c>
      <c r="B81" s="15">
        <v>11</v>
      </c>
      <c r="C81" s="15">
        <v>7</v>
      </c>
      <c r="D81" s="15">
        <v>4</v>
      </c>
      <c r="E81" s="15">
        <v>616</v>
      </c>
      <c r="F81" s="15">
        <v>320</v>
      </c>
      <c r="G81" s="15">
        <v>296</v>
      </c>
    </row>
    <row r="82" spans="1:7" s="1" customFormat="1" ht="10.5" customHeight="1" x14ac:dyDescent="0.25">
      <c r="A82" s="79" t="s">
        <v>38</v>
      </c>
      <c r="B82" s="15">
        <v>0</v>
      </c>
      <c r="C82" s="15">
        <v>0</v>
      </c>
      <c r="D82" s="15">
        <v>0</v>
      </c>
      <c r="E82" s="15">
        <v>4797</v>
      </c>
      <c r="F82" s="15">
        <v>2588</v>
      </c>
      <c r="G82" s="15">
        <v>2209</v>
      </c>
    </row>
    <row r="83" spans="1:7" s="1" customFormat="1" ht="10.5" customHeight="1" x14ac:dyDescent="0.25">
      <c r="A83" s="79"/>
      <c r="B83" s="114"/>
      <c r="C83" s="114"/>
      <c r="D83" s="114"/>
      <c r="E83" s="114"/>
      <c r="F83" s="114"/>
      <c r="G83" s="114"/>
    </row>
    <row r="84" spans="1:7" s="1" customFormat="1" ht="10.5" customHeight="1" x14ac:dyDescent="0.25">
      <c r="A84" s="78" t="s">
        <v>34</v>
      </c>
      <c r="B84" s="61">
        <v>211</v>
      </c>
      <c r="C84" s="61">
        <v>114</v>
      </c>
      <c r="D84" s="61">
        <v>97</v>
      </c>
      <c r="E84" s="61">
        <v>533048</v>
      </c>
      <c r="F84" s="61">
        <v>261806</v>
      </c>
      <c r="G84" s="61">
        <v>271242</v>
      </c>
    </row>
    <row r="85" spans="1:7" s="1" customFormat="1" ht="10.5" customHeight="1" x14ac:dyDescent="0.25">
      <c r="A85" s="79" t="s">
        <v>50</v>
      </c>
      <c r="B85" s="15">
        <v>2</v>
      </c>
      <c r="C85" s="15">
        <v>1</v>
      </c>
      <c r="D85" s="15">
        <v>1</v>
      </c>
      <c r="E85" s="15">
        <v>68752</v>
      </c>
      <c r="F85" s="15">
        <v>33109</v>
      </c>
      <c r="G85" s="15">
        <v>35643</v>
      </c>
    </row>
    <row r="86" spans="1:7" s="1" customFormat="1" ht="10.5" customHeight="1" x14ac:dyDescent="0.25">
      <c r="A86" s="79" t="s">
        <v>49</v>
      </c>
      <c r="B86" s="15">
        <v>0</v>
      </c>
      <c r="C86" s="15">
        <v>0</v>
      </c>
      <c r="D86" s="15">
        <v>0</v>
      </c>
      <c r="E86" s="15">
        <v>74</v>
      </c>
      <c r="F86" s="15">
        <v>40</v>
      </c>
      <c r="G86" s="15">
        <v>34</v>
      </c>
    </row>
    <row r="87" spans="1:7" s="1" customFormat="1" ht="10.5" customHeight="1" x14ac:dyDescent="0.25">
      <c r="A87" s="79" t="s">
        <v>48</v>
      </c>
      <c r="B87" s="15">
        <v>6</v>
      </c>
      <c r="C87" s="15">
        <v>2</v>
      </c>
      <c r="D87" s="15">
        <v>4</v>
      </c>
      <c r="E87" s="15">
        <v>8</v>
      </c>
      <c r="F87" s="15">
        <v>5</v>
      </c>
      <c r="G87" s="15">
        <v>3</v>
      </c>
    </row>
    <row r="88" spans="1:7" s="1" customFormat="1" ht="10.5" customHeight="1" x14ac:dyDescent="0.25">
      <c r="A88" s="79" t="s">
        <v>47</v>
      </c>
      <c r="B88" s="15">
        <v>18</v>
      </c>
      <c r="C88" s="15">
        <v>8</v>
      </c>
      <c r="D88" s="15">
        <v>10</v>
      </c>
      <c r="E88" s="15">
        <v>11</v>
      </c>
      <c r="F88" s="15">
        <v>8</v>
      </c>
      <c r="G88" s="15">
        <v>3</v>
      </c>
    </row>
    <row r="89" spans="1:7" s="1" customFormat="1" ht="10.5" customHeight="1" x14ac:dyDescent="0.25">
      <c r="A89" s="79" t="s">
        <v>134</v>
      </c>
      <c r="B89" s="15">
        <v>10</v>
      </c>
      <c r="C89" s="15">
        <v>6</v>
      </c>
      <c r="D89" s="15">
        <v>4</v>
      </c>
      <c r="E89" s="15">
        <v>9</v>
      </c>
      <c r="F89" s="15">
        <v>2</v>
      </c>
      <c r="G89" s="15">
        <v>7</v>
      </c>
    </row>
    <row r="90" spans="1:7" s="1" customFormat="1" ht="10.5" customHeight="1" x14ac:dyDescent="0.25">
      <c r="A90" s="79" t="s">
        <v>46</v>
      </c>
      <c r="B90" s="15">
        <v>0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</row>
    <row r="91" spans="1:7" s="1" customFormat="1" ht="10.5" customHeight="1" x14ac:dyDescent="0.25">
      <c r="A91" s="79" t="s">
        <v>45</v>
      </c>
      <c r="B91" s="15">
        <v>1</v>
      </c>
      <c r="C91" s="15">
        <v>1</v>
      </c>
      <c r="D91" s="15">
        <v>0</v>
      </c>
      <c r="E91" s="15">
        <v>2</v>
      </c>
      <c r="F91" s="15">
        <v>0</v>
      </c>
      <c r="G91" s="15">
        <v>2</v>
      </c>
    </row>
    <row r="92" spans="1:7" s="1" customFormat="1" ht="10.5" customHeight="1" x14ac:dyDescent="0.25">
      <c r="A92" s="79" t="s">
        <v>44</v>
      </c>
      <c r="B92" s="15">
        <v>0</v>
      </c>
      <c r="C92" s="15">
        <v>0</v>
      </c>
      <c r="D92" s="15">
        <v>0</v>
      </c>
      <c r="E92" s="15">
        <v>9</v>
      </c>
      <c r="F92" s="15">
        <v>4</v>
      </c>
      <c r="G92" s="15">
        <v>5</v>
      </c>
    </row>
    <row r="93" spans="1:7" s="1" customFormat="1" ht="10.5" customHeight="1" x14ac:dyDescent="0.25">
      <c r="A93" s="79" t="s">
        <v>131</v>
      </c>
      <c r="B93" s="15">
        <v>3</v>
      </c>
      <c r="C93" s="15">
        <v>3</v>
      </c>
      <c r="D93" s="15">
        <v>0</v>
      </c>
      <c r="E93" s="15">
        <v>6</v>
      </c>
      <c r="F93" s="15">
        <v>4</v>
      </c>
      <c r="G93" s="15">
        <v>2</v>
      </c>
    </row>
    <row r="94" spans="1:7" s="1" customFormat="1" ht="10.5" customHeight="1" x14ac:dyDescent="0.25">
      <c r="A94" s="79" t="s">
        <v>43</v>
      </c>
      <c r="B94" s="15">
        <v>171</v>
      </c>
      <c r="C94" s="15">
        <v>93</v>
      </c>
      <c r="D94" s="15">
        <v>78</v>
      </c>
      <c r="E94" s="15">
        <v>455041</v>
      </c>
      <c r="F94" s="15">
        <v>223811</v>
      </c>
      <c r="G94" s="15">
        <v>231230</v>
      </c>
    </row>
    <row r="95" spans="1:7" s="1" customFormat="1" ht="10.5" customHeight="1" x14ac:dyDescent="0.25">
      <c r="A95" s="79" t="s">
        <v>42</v>
      </c>
      <c r="B95" s="15">
        <v>0</v>
      </c>
      <c r="C95" s="15">
        <v>0</v>
      </c>
      <c r="D95" s="15">
        <v>0</v>
      </c>
      <c r="E95" s="15">
        <v>48</v>
      </c>
      <c r="F95" s="15">
        <v>22</v>
      </c>
      <c r="G95" s="15">
        <v>26</v>
      </c>
    </row>
    <row r="96" spans="1:7" s="1" customFormat="1" ht="10.5" customHeight="1" x14ac:dyDescent="0.25">
      <c r="A96" s="79" t="s">
        <v>41</v>
      </c>
      <c r="B96" s="15">
        <v>0</v>
      </c>
      <c r="C96" s="15">
        <v>0</v>
      </c>
      <c r="D96" s="15">
        <v>0</v>
      </c>
      <c r="E96" s="15">
        <v>593</v>
      </c>
      <c r="F96" s="15">
        <v>333</v>
      </c>
      <c r="G96" s="15">
        <v>260</v>
      </c>
    </row>
    <row r="97" spans="1:7" s="1" customFormat="1" ht="10.5" customHeight="1" x14ac:dyDescent="0.25">
      <c r="A97" s="79" t="s">
        <v>40</v>
      </c>
      <c r="B97" s="15">
        <v>0</v>
      </c>
      <c r="C97" s="15">
        <v>0</v>
      </c>
      <c r="D97" s="15">
        <v>0</v>
      </c>
      <c r="E97" s="15">
        <v>250</v>
      </c>
      <c r="F97" s="15">
        <v>138</v>
      </c>
      <c r="G97" s="15">
        <v>112</v>
      </c>
    </row>
    <row r="98" spans="1:7" s="1" customFormat="1" ht="10.5" customHeight="1" x14ac:dyDescent="0.25">
      <c r="A98" s="79" t="s">
        <v>39</v>
      </c>
      <c r="B98" s="15">
        <v>0</v>
      </c>
      <c r="C98" s="15">
        <v>0</v>
      </c>
      <c r="D98" s="15">
        <v>0</v>
      </c>
      <c r="E98" s="15">
        <v>622</v>
      </c>
      <c r="F98" s="15">
        <v>302</v>
      </c>
      <c r="G98" s="15">
        <v>320</v>
      </c>
    </row>
    <row r="99" spans="1:7" s="1" customFormat="1" ht="10.5" customHeight="1" x14ac:dyDescent="0.25">
      <c r="A99" s="79" t="s">
        <v>38</v>
      </c>
      <c r="B99" s="15">
        <v>0</v>
      </c>
      <c r="C99" s="15">
        <v>0</v>
      </c>
      <c r="D99" s="15">
        <v>0</v>
      </c>
      <c r="E99" s="15">
        <v>7623</v>
      </c>
      <c r="F99" s="15">
        <v>4028</v>
      </c>
      <c r="G99" s="15">
        <v>3595</v>
      </c>
    </row>
    <row r="100" spans="1:7" s="1" customFormat="1" ht="10.5" customHeight="1" x14ac:dyDescent="0.25">
      <c r="A100" s="79"/>
      <c r="B100" s="114"/>
      <c r="C100" s="114"/>
      <c r="D100" s="114"/>
      <c r="E100" s="114"/>
      <c r="F100" s="114"/>
      <c r="G100" s="114"/>
    </row>
    <row r="101" spans="1:7" s="1" customFormat="1" ht="10.5" customHeight="1" x14ac:dyDescent="0.25">
      <c r="A101" s="78" t="s">
        <v>33</v>
      </c>
      <c r="B101" s="61">
        <v>144</v>
      </c>
      <c r="C101" s="61">
        <v>72</v>
      </c>
      <c r="D101" s="61">
        <v>72</v>
      </c>
      <c r="E101" s="61">
        <v>40128</v>
      </c>
      <c r="F101" s="61">
        <v>21124</v>
      </c>
      <c r="G101" s="61">
        <v>19004</v>
      </c>
    </row>
    <row r="102" spans="1:7" s="1" customFormat="1" ht="10.5" customHeight="1" x14ac:dyDescent="0.25">
      <c r="A102" s="79" t="s">
        <v>50</v>
      </c>
      <c r="B102" s="15">
        <v>11</v>
      </c>
      <c r="C102" s="15">
        <v>7</v>
      </c>
      <c r="D102" s="15">
        <v>4</v>
      </c>
      <c r="E102" s="15">
        <v>12058</v>
      </c>
      <c r="F102" s="15">
        <v>6198</v>
      </c>
      <c r="G102" s="15">
        <v>5860</v>
      </c>
    </row>
    <row r="103" spans="1:7" s="1" customFormat="1" ht="10.5" customHeight="1" x14ac:dyDescent="0.25">
      <c r="A103" s="79" t="s">
        <v>49</v>
      </c>
      <c r="B103" s="15">
        <v>1</v>
      </c>
      <c r="C103" s="15">
        <v>1</v>
      </c>
      <c r="D103" s="15">
        <v>0</v>
      </c>
      <c r="E103" s="15">
        <v>44</v>
      </c>
      <c r="F103" s="15">
        <v>23</v>
      </c>
      <c r="G103" s="15">
        <v>21</v>
      </c>
    </row>
    <row r="104" spans="1:7" s="1" customFormat="1" ht="10.5" customHeight="1" x14ac:dyDescent="0.25">
      <c r="A104" s="79" t="s">
        <v>48</v>
      </c>
      <c r="B104" s="15">
        <v>5</v>
      </c>
      <c r="C104" s="15">
        <v>1</v>
      </c>
      <c r="D104" s="15">
        <v>4</v>
      </c>
      <c r="E104" s="15">
        <v>3</v>
      </c>
      <c r="F104" s="15">
        <v>0</v>
      </c>
      <c r="G104" s="15">
        <v>3</v>
      </c>
    </row>
    <row r="105" spans="1:7" s="1" customFormat="1" ht="10.5" customHeight="1" x14ac:dyDescent="0.25">
      <c r="A105" s="79" t="s">
        <v>47</v>
      </c>
      <c r="B105" s="15">
        <v>4</v>
      </c>
      <c r="C105" s="15">
        <v>2</v>
      </c>
      <c r="D105" s="15">
        <v>2</v>
      </c>
      <c r="E105" s="15">
        <v>0</v>
      </c>
      <c r="F105" s="15">
        <v>0</v>
      </c>
      <c r="G105" s="15">
        <v>0</v>
      </c>
    </row>
    <row r="106" spans="1:7" s="1" customFormat="1" ht="10.5" customHeight="1" x14ac:dyDescent="0.25">
      <c r="A106" s="79" t="s">
        <v>134</v>
      </c>
      <c r="B106" s="15">
        <v>6</v>
      </c>
      <c r="C106" s="15">
        <v>3</v>
      </c>
      <c r="D106" s="15">
        <v>3</v>
      </c>
      <c r="E106" s="15">
        <v>2</v>
      </c>
      <c r="F106" s="15">
        <v>1</v>
      </c>
      <c r="G106" s="15">
        <v>1</v>
      </c>
    </row>
    <row r="107" spans="1:7" s="1" customFormat="1" ht="10.5" customHeight="1" x14ac:dyDescent="0.25">
      <c r="A107" s="79" t="s">
        <v>46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</row>
    <row r="108" spans="1:7" s="1" customFormat="1" ht="10.5" customHeight="1" x14ac:dyDescent="0.25">
      <c r="A108" s="79" t="s">
        <v>45</v>
      </c>
      <c r="B108" s="15">
        <v>5</v>
      </c>
      <c r="C108" s="15">
        <v>2</v>
      </c>
      <c r="D108" s="15">
        <v>3</v>
      </c>
      <c r="E108" s="15">
        <v>0</v>
      </c>
      <c r="F108" s="15">
        <v>0</v>
      </c>
      <c r="G108" s="15">
        <v>0</v>
      </c>
    </row>
    <row r="109" spans="1:7" s="1" customFormat="1" ht="10.5" customHeight="1" x14ac:dyDescent="0.25">
      <c r="A109" s="79" t="s">
        <v>44</v>
      </c>
      <c r="B109" s="15">
        <v>0</v>
      </c>
      <c r="C109" s="15">
        <v>0</v>
      </c>
      <c r="D109" s="15">
        <v>0</v>
      </c>
      <c r="E109" s="15">
        <v>0</v>
      </c>
      <c r="F109" s="15">
        <v>0</v>
      </c>
      <c r="G109" s="15">
        <v>0</v>
      </c>
    </row>
    <row r="110" spans="1:7" s="1" customFormat="1" ht="10.5" customHeight="1" x14ac:dyDescent="0.25">
      <c r="A110" s="79" t="s">
        <v>131</v>
      </c>
      <c r="B110" s="15">
        <v>3</v>
      </c>
      <c r="C110" s="15">
        <v>1</v>
      </c>
      <c r="D110" s="15">
        <v>2</v>
      </c>
      <c r="E110" s="15">
        <v>1</v>
      </c>
      <c r="F110" s="15">
        <v>1</v>
      </c>
      <c r="G110" s="15">
        <v>0</v>
      </c>
    </row>
    <row r="111" spans="1:7" s="1" customFormat="1" ht="10.5" customHeight="1" x14ac:dyDescent="0.25">
      <c r="A111" s="79" t="s">
        <v>43</v>
      </c>
      <c r="B111" s="15">
        <v>109</v>
      </c>
      <c r="C111" s="15">
        <v>55</v>
      </c>
      <c r="D111" s="15">
        <v>54</v>
      </c>
      <c r="E111" s="15">
        <v>26366</v>
      </c>
      <c r="F111" s="15">
        <v>14154</v>
      </c>
      <c r="G111" s="15">
        <v>12212</v>
      </c>
    </row>
    <row r="112" spans="1:7" s="1" customFormat="1" ht="10.5" customHeight="1" x14ac:dyDescent="0.25">
      <c r="A112" s="79" t="s">
        <v>42</v>
      </c>
      <c r="B112" s="15">
        <v>0</v>
      </c>
      <c r="C112" s="15">
        <v>0</v>
      </c>
      <c r="D112" s="15">
        <v>0</v>
      </c>
      <c r="E112" s="15">
        <v>5</v>
      </c>
      <c r="F112" s="15">
        <v>1</v>
      </c>
      <c r="G112" s="15">
        <v>4</v>
      </c>
    </row>
    <row r="113" spans="1:7" s="1" customFormat="1" ht="10.5" customHeight="1" x14ac:dyDescent="0.25">
      <c r="A113" s="79" t="s">
        <v>41</v>
      </c>
      <c r="B113" s="15">
        <v>0</v>
      </c>
      <c r="C113" s="15">
        <v>0</v>
      </c>
      <c r="D113" s="15">
        <v>0</v>
      </c>
      <c r="E113" s="15">
        <v>134</v>
      </c>
      <c r="F113" s="15">
        <v>66</v>
      </c>
      <c r="G113" s="15">
        <v>68</v>
      </c>
    </row>
    <row r="114" spans="1:7" s="1" customFormat="1" ht="10.5" customHeight="1" x14ac:dyDescent="0.25">
      <c r="A114" s="79" t="s">
        <v>40</v>
      </c>
      <c r="B114" s="15">
        <v>0</v>
      </c>
      <c r="C114" s="15">
        <v>0</v>
      </c>
      <c r="D114" s="15">
        <v>0</v>
      </c>
      <c r="E114" s="15">
        <v>26</v>
      </c>
      <c r="F114" s="15">
        <v>12</v>
      </c>
      <c r="G114" s="15">
        <v>14</v>
      </c>
    </row>
    <row r="115" spans="1:7" s="1" customFormat="1" ht="10.5" customHeight="1" x14ac:dyDescent="0.25">
      <c r="A115" s="79" t="s">
        <v>39</v>
      </c>
      <c r="B115" s="15">
        <v>0</v>
      </c>
      <c r="C115" s="15">
        <v>0</v>
      </c>
      <c r="D115" s="15">
        <v>0</v>
      </c>
      <c r="E115" s="15">
        <v>60</v>
      </c>
      <c r="F115" s="15">
        <v>39</v>
      </c>
      <c r="G115" s="15">
        <v>21</v>
      </c>
    </row>
    <row r="116" spans="1:7" s="1" customFormat="1" ht="10.5" customHeight="1" x14ac:dyDescent="0.25">
      <c r="A116" s="79" t="s">
        <v>38</v>
      </c>
      <c r="B116" s="15">
        <v>0</v>
      </c>
      <c r="C116" s="15">
        <v>0</v>
      </c>
      <c r="D116" s="15">
        <v>0</v>
      </c>
      <c r="E116" s="15">
        <v>1429</v>
      </c>
      <c r="F116" s="15">
        <v>629</v>
      </c>
      <c r="G116" s="15">
        <v>800</v>
      </c>
    </row>
    <row r="117" spans="1:7" s="1" customFormat="1" ht="3.75" customHeight="1" thickBot="1" x14ac:dyDescent="0.3">
      <c r="A117" s="83"/>
      <c r="B117" s="74"/>
      <c r="C117" s="74"/>
      <c r="D117" s="75"/>
      <c r="E117" s="76"/>
      <c r="F117" s="76"/>
      <c r="G117" s="76"/>
    </row>
    <row r="118" spans="1:7" s="1" customFormat="1" ht="10.5" customHeight="1" x14ac:dyDescent="0.25">
      <c r="A118" s="48"/>
      <c r="B118" s="7"/>
      <c r="C118" s="7"/>
      <c r="D118" s="6"/>
      <c r="E118" s="28"/>
      <c r="F118" s="28"/>
      <c r="G118" s="7" t="s">
        <v>83</v>
      </c>
    </row>
    <row r="119" spans="1:7" ht="12.75" customHeight="1" x14ac:dyDescent="0.2">
      <c r="A119" s="205" t="str">
        <f>A$1</f>
        <v>CUADRO Nº 2.3</v>
      </c>
      <c r="B119" s="205"/>
      <c r="C119" s="205"/>
      <c r="D119" s="205"/>
      <c r="E119" s="205"/>
      <c r="F119" s="205"/>
      <c r="G119" s="205"/>
    </row>
    <row r="120" spans="1:7" ht="20.25" customHeight="1" x14ac:dyDescent="0.2">
      <c r="A120" s="219" t="str">
        <f>A$2</f>
        <v>PERÚ: POBLACIÓN CENSADA INDÍGENA U ORIGINARIA DE LA AMAZONÍA, BLANCA(O), MESTIZA(O) Y OTRA(O) DE 12 Y MÁS AÑOS DE EDAD, POR SEXO, SEGÚN LENGUA O IDIOMA MATERNA APRENDIDA EN LA NIÑEZ, ÁREA DE RESIDENCIA Y DEPARTAMENTO, 2017</v>
      </c>
      <c r="B120" s="219"/>
      <c r="C120" s="219"/>
      <c r="D120" s="219"/>
      <c r="E120" s="219"/>
      <c r="F120" s="219"/>
      <c r="G120" s="219"/>
    </row>
    <row r="121" spans="1:7" customFormat="1" ht="12.75" customHeight="1" x14ac:dyDescent="0.2">
      <c r="A121" s="207" t="str">
        <f>A$3</f>
        <v>(Cifras absolutas)</v>
      </c>
      <c r="B121" s="207"/>
      <c r="C121" s="207"/>
      <c r="D121" s="207"/>
      <c r="E121" s="207"/>
      <c r="F121" s="207"/>
      <c r="G121" s="207"/>
    </row>
    <row r="122" spans="1:7" ht="10.5" customHeight="1" thickBot="1" x14ac:dyDescent="0.25">
      <c r="A122" s="48"/>
      <c r="B122" s="48"/>
      <c r="C122" s="48"/>
      <c r="D122" s="48"/>
      <c r="E122" s="48"/>
      <c r="F122" s="48"/>
      <c r="G122" s="48"/>
    </row>
    <row r="123" spans="1:7" ht="12.75" customHeight="1" thickBot="1" x14ac:dyDescent="0.25">
      <c r="A123" s="220" t="str">
        <f>A$5</f>
        <v>Lengua o idioma materna aprendida en la niñez / Área de residencia y departamento</v>
      </c>
      <c r="B123" s="210" t="str">
        <f>B$5</f>
        <v>Indígena u originaria de la Amazonía</v>
      </c>
      <c r="C123" s="211"/>
      <c r="D123" s="212"/>
      <c r="E123" s="210" t="s">
        <v>116</v>
      </c>
      <c r="F123" s="211"/>
      <c r="G123" s="212"/>
    </row>
    <row r="124" spans="1:7" ht="12.75" customHeight="1" thickBot="1" x14ac:dyDescent="0.25">
      <c r="A124" s="220"/>
      <c r="B124" s="53" t="str">
        <f t="shared" ref="B124:G124" si="1">B$6</f>
        <v>Total</v>
      </c>
      <c r="C124" s="54" t="str">
        <f t="shared" si="1"/>
        <v>Hombre</v>
      </c>
      <c r="D124" s="110" t="str">
        <f t="shared" si="1"/>
        <v>Mujer</v>
      </c>
      <c r="E124" s="54" t="str">
        <f t="shared" si="1"/>
        <v>Total</v>
      </c>
      <c r="F124" s="54" t="str">
        <f t="shared" si="1"/>
        <v>Hombre</v>
      </c>
      <c r="G124" s="110" t="str">
        <f t="shared" si="1"/>
        <v>Mujer</v>
      </c>
    </row>
    <row r="125" spans="1:7" ht="3.75" customHeight="1" x14ac:dyDescent="0.2">
      <c r="A125" s="77"/>
      <c r="B125" s="14"/>
      <c r="C125" s="14"/>
      <c r="D125" s="46"/>
      <c r="E125" s="46"/>
      <c r="F125" s="46"/>
      <c r="G125" s="46"/>
    </row>
    <row r="126" spans="1:7" s="1" customFormat="1" ht="10.5" customHeight="1" x14ac:dyDescent="0.25">
      <c r="A126" s="78" t="s">
        <v>32</v>
      </c>
      <c r="B126" s="61">
        <v>627</v>
      </c>
      <c r="C126" s="61">
        <v>327</v>
      </c>
      <c r="D126" s="61">
        <v>300</v>
      </c>
      <c r="E126" s="61">
        <v>705710</v>
      </c>
      <c r="F126" s="61">
        <v>341302</v>
      </c>
      <c r="G126" s="61">
        <v>364408</v>
      </c>
    </row>
    <row r="127" spans="1:7" s="1" customFormat="1" ht="10.5" customHeight="1" x14ac:dyDescent="0.25">
      <c r="A127" s="79" t="s">
        <v>50</v>
      </c>
      <c r="B127" s="15">
        <v>26</v>
      </c>
      <c r="C127" s="15">
        <v>17</v>
      </c>
      <c r="D127" s="15">
        <v>9</v>
      </c>
      <c r="E127" s="15">
        <v>39133</v>
      </c>
      <c r="F127" s="15">
        <v>18881</v>
      </c>
      <c r="G127" s="15">
        <v>20252</v>
      </c>
    </row>
    <row r="128" spans="1:7" s="1" customFormat="1" ht="10.5" customHeight="1" x14ac:dyDescent="0.25">
      <c r="A128" s="79" t="s">
        <v>49</v>
      </c>
      <c r="B128" s="15">
        <v>1</v>
      </c>
      <c r="C128" s="15">
        <v>1</v>
      </c>
      <c r="D128" s="15">
        <v>0</v>
      </c>
      <c r="E128" s="15">
        <v>4345</v>
      </c>
      <c r="F128" s="15">
        <v>2220</v>
      </c>
      <c r="G128" s="15">
        <v>2125</v>
      </c>
    </row>
    <row r="129" spans="1:7" s="1" customFormat="1" ht="10.5" customHeight="1" x14ac:dyDescent="0.25">
      <c r="A129" s="79" t="s">
        <v>48</v>
      </c>
      <c r="B129" s="15">
        <v>34</v>
      </c>
      <c r="C129" s="15">
        <v>19</v>
      </c>
      <c r="D129" s="15">
        <v>15</v>
      </c>
      <c r="E129" s="15">
        <v>30</v>
      </c>
      <c r="F129" s="15">
        <v>14</v>
      </c>
      <c r="G129" s="15">
        <v>16</v>
      </c>
    </row>
    <row r="130" spans="1:7" s="1" customFormat="1" ht="10.5" customHeight="1" x14ac:dyDescent="0.25">
      <c r="A130" s="79" t="s">
        <v>47</v>
      </c>
      <c r="B130" s="15">
        <v>10</v>
      </c>
      <c r="C130" s="15">
        <v>3</v>
      </c>
      <c r="D130" s="15">
        <v>7</v>
      </c>
      <c r="E130" s="15">
        <v>7</v>
      </c>
      <c r="F130" s="15">
        <v>4</v>
      </c>
      <c r="G130" s="15">
        <v>3</v>
      </c>
    </row>
    <row r="131" spans="1:7" s="1" customFormat="1" ht="10.5" customHeight="1" x14ac:dyDescent="0.25">
      <c r="A131" s="79" t="s">
        <v>134</v>
      </c>
      <c r="B131" s="15">
        <v>37</v>
      </c>
      <c r="C131" s="15">
        <v>23</v>
      </c>
      <c r="D131" s="15">
        <v>14</v>
      </c>
      <c r="E131" s="15">
        <v>17</v>
      </c>
      <c r="F131" s="15">
        <v>10</v>
      </c>
      <c r="G131" s="15">
        <v>7</v>
      </c>
    </row>
    <row r="132" spans="1:7" s="1" customFormat="1" ht="10.5" customHeight="1" x14ac:dyDescent="0.25">
      <c r="A132" s="79" t="s">
        <v>46</v>
      </c>
      <c r="B132" s="15">
        <v>1</v>
      </c>
      <c r="C132" s="15">
        <v>1</v>
      </c>
      <c r="D132" s="15">
        <v>0</v>
      </c>
      <c r="E132" s="15">
        <v>3</v>
      </c>
      <c r="F132" s="15">
        <v>2</v>
      </c>
      <c r="G132" s="15">
        <v>1</v>
      </c>
    </row>
    <row r="133" spans="1:7" s="1" customFormat="1" ht="10.5" customHeight="1" x14ac:dyDescent="0.25">
      <c r="A133" s="79" t="s">
        <v>45</v>
      </c>
      <c r="B133" s="15">
        <v>11</v>
      </c>
      <c r="C133" s="15">
        <v>4</v>
      </c>
      <c r="D133" s="15">
        <v>7</v>
      </c>
      <c r="E133" s="15">
        <v>7</v>
      </c>
      <c r="F133" s="15">
        <v>4</v>
      </c>
      <c r="G133" s="15">
        <v>3</v>
      </c>
    </row>
    <row r="134" spans="1:7" s="1" customFormat="1" ht="10.5" customHeight="1" x14ac:dyDescent="0.25">
      <c r="A134" s="79" t="s">
        <v>44</v>
      </c>
      <c r="B134" s="15">
        <v>1</v>
      </c>
      <c r="C134" s="15">
        <v>1</v>
      </c>
      <c r="D134" s="15">
        <v>0</v>
      </c>
      <c r="E134" s="15">
        <v>6</v>
      </c>
      <c r="F134" s="15">
        <v>2</v>
      </c>
      <c r="G134" s="15">
        <v>4</v>
      </c>
    </row>
    <row r="135" spans="1:7" s="1" customFormat="1" ht="10.5" customHeight="1" x14ac:dyDescent="0.25">
      <c r="A135" s="79" t="s">
        <v>131</v>
      </c>
      <c r="B135" s="15">
        <v>5</v>
      </c>
      <c r="C135" s="15">
        <v>4</v>
      </c>
      <c r="D135" s="15">
        <v>1</v>
      </c>
      <c r="E135" s="15">
        <v>18</v>
      </c>
      <c r="F135" s="15">
        <v>11</v>
      </c>
      <c r="G135" s="15">
        <v>7</v>
      </c>
    </row>
    <row r="136" spans="1:7" s="1" customFormat="1" ht="10.5" customHeight="1" x14ac:dyDescent="0.25">
      <c r="A136" s="79" t="s">
        <v>43</v>
      </c>
      <c r="B136" s="15">
        <v>500</v>
      </c>
      <c r="C136" s="15">
        <v>254</v>
      </c>
      <c r="D136" s="15">
        <v>246</v>
      </c>
      <c r="E136" s="15">
        <v>658111</v>
      </c>
      <c r="F136" s="15">
        <v>318062</v>
      </c>
      <c r="G136" s="15">
        <v>340049</v>
      </c>
    </row>
    <row r="137" spans="1:7" s="1" customFormat="1" ht="10.5" customHeight="1" x14ac:dyDescent="0.25">
      <c r="A137" s="79" t="s">
        <v>42</v>
      </c>
      <c r="B137" s="15">
        <v>0</v>
      </c>
      <c r="C137" s="15">
        <v>0</v>
      </c>
      <c r="D137" s="15">
        <v>0</v>
      </c>
      <c r="E137" s="15">
        <v>130</v>
      </c>
      <c r="F137" s="15">
        <v>50</v>
      </c>
      <c r="G137" s="15">
        <v>80</v>
      </c>
    </row>
    <row r="138" spans="1:7" s="1" customFormat="1" ht="10.5" customHeight="1" x14ac:dyDescent="0.25">
      <c r="A138" s="79" t="s">
        <v>41</v>
      </c>
      <c r="B138" s="15">
        <v>1</v>
      </c>
      <c r="C138" s="15">
        <v>0</v>
      </c>
      <c r="D138" s="15">
        <v>1</v>
      </c>
      <c r="E138" s="15">
        <v>1287</v>
      </c>
      <c r="F138" s="15">
        <v>719</v>
      </c>
      <c r="G138" s="15">
        <v>568</v>
      </c>
    </row>
    <row r="139" spans="1:7" s="1" customFormat="1" ht="10.5" customHeight="1" x14ac:dyDescent="0.25">
      <c r="A139" s="79" t="s">
        <v>40</v>
      </c>
      <c r="B139" s="15">
        <v>0</v>
      </c>
      <c r="C139" s="15">
        <v>0</v>
      </c>
      <c r="D139" s="15">
        <v>0</v>
      </c>
      <c r="E139" s="15">
        <v>226</v>
      </c>
      <c r="F139" s="15">
        <v>109</v>
      </c>
      <c r="G139" s="15">
        <v>117</v>
      </c>
    </row>
    <row r="140" spans="1:7" s="1" customFormat="1" ht="10.5" customHeight="1" x14ac:dyDescent="0.25">
      <c r="A140" s="79" t="s">
        <v>39</v>
      </c>
      <c r="B140" s="15">
        <v>0</v>
      </c>
      <c r="C140" s="15">
        <v>0</v>
      </c>
      <c r="D140" s="15">
        <v>0</v>
      </c>
      <c r="E140" s="15">
        <v>464</v>
      </c>
      <c r="F140" s="15">
        <v>259</v>
      </c>
      <c r="G140" s="15">
        <v>205</v>
      </c>
    </row>
    <row r="141" spans="1:7" s="1" customFormat="1" ht="10.5" customHeight="1" x14ac:dyDescent="0.25">
      <c r="A141" s="79" t="s">
        <v>38</v>
      </c>
      <c r="B141" s="15">
        <v>0</v>
      </c>
      <c r="C141" s="15">
        <v>0</v>
      </c>
      <c r="D141" s="15">
        <v>0</v>
      </c>
      <c r="E141" s="15">
        <v>1926</v>
      </c>
      <c r="F141" s="15">
        <v>955</v>
      </c>
      <c r="G141" s="15">
        <v>971</v>
      </c>
    </row>
    <row r="142" spans="1:7" s="1" customFormat="1" ht="10.5" customHeight="1" x14ac:dyDescent="0.25">
      <c r="A142" s="79"/>
      <c r="B142" s="114"/>
      <c r="C142" s="114"/>
      <c r="D142" s="114"/>
      <c r="E142" s="114"/>
      <c r="F142" s="114"/>
      <c r="G142" s="114"/>
    </row>
    <row r="143" spans="1:7" s="1" customFormat="1" ht="10.5" customHeight="1" x14ac:dyDescent="0.25">
      <c r="A143" s="78" t="s">
        <v>31</v>
      </c>
      <c r="B143" s="61">
        <v>314</v>
      </c>
      <c r="C143" s="61">
        <v>171</v>
      </c>
      <c r="D143" s="61">
        <v>143</v>
      </c>
      <c r="E143" s="61">
        <v>84703</v>
      </c>
      <c r="F143" s="61">
        <v>44381</v>
      </c>
      <c r="G143" s="61">
        <v>40322</v>
      </c>
    </row>
    <row r="144" spans="1:7" s="1" customFormat="1" ht="10.5" customHeight="1" x14ac:dyDescent="0.25">
      <c r="A144" s="79" t="s">
        <v>50</v>
      </c>
      <c r="B144" s="15">
        <v>22</v>
      </c>
      <c r="C144" s="15">
        <v>14</v>
      </c>
      <c r="D144" s="15">
        <v>8</v>
      </c>
      <c r="E144" s="15">
        <v>23995</v>
      </c>
      <c r="F144" s="15">
        <v>12051</v>
      </c>
      <c r="G144" s="15">
        <v>11944</v>
      </c>
    </row>
    <row r="145" spans="1:7" s="1" customFormat="1" ht="10.5" customHeight="1" x14ac:dyDescent="0.25">
      <c r="A145" s="79" t="s">
        <v>49</v>
      </c>
      <c r="B145" s="15">
        <v>0</v>
      </c>
      <c r="C145" s="15">
        <v>0</v>
      </c>
      <c r="D145" s="15">
        <v>0</v>
      </c>
      <c r="E145" s="15">
        <v>78</v>
      </c>
      <c r="F145" s="15">
        <v>57</v>
      </c>
      <c r="G145" s="15">
        <v>21</v>
      </c>
    </row>
    <row r="146" spans="1:7" s="1" customFormat="1" ht="10.5" customHeight="1" x14ac:dyDescent="0.25">
      <c r="A146" s="79" t="s">
        <v>48</v>
      </c>
      <c r="B146" s="15">
        <v>102</v>
      </c>
      <c r="C146" s="15">
        <v>50</v>
      </c>
      <c r="D146" s="15">
        <v>52</v>
      </c>
      <c r="E146" s="15">
        <v>6</v>
      </c>
      <c r="F146" s="15">
        <v>1</v>
      </c>
      <c r="G146" s="15">
        <v>5</v>
      </c>
    </row>
    <row r="147" spans="1:7" s="1" customFormat="1" ht="10.5" customHeight="1" x14ac:dyDescent="0.25">
      <c r="A147" s="79" t="s">
        <v>47</v>
      </c>
      <c r="B147" s="15">
        <v>8</v>
      </c>
      <c r="C147" s="15">
        <v>6</v>
      </c>
      <c r="D147" s="15">
        <v>2</v>
      </c>
      <c r="E147" s="15">
        <v>1</v>
      </c>
      <c r="F147" s="15">
        <v>1</v>
      </c>
      <c r="G147" s="15">
        <v>0</v>
      </c>
    </row>
    <row r="148" spans="1:7" s="1" customFormat="1" ht="10.5" customHeight="1" x14ac:dyDescent="0.25">
      <c r="A148" s="79" t="s">
        <v>134</v>
      </c>
      <c r="B148" s="15">
        <v>11</v>
      </c>
      <c r="C148" s="15">
        <v>7</v>
      </c>
      <c r="D148" s="15">
        <v>4</v>
      </c>
      <c r="E148" s="15">
        <v>3</v>
      </c>
      <c r="F148" s="15">
        <v>1</v>
      </c>
      <c r="G148" s="15">
        <v>2</v>
      </c>
    </row>
    <row r="149" spans="1:7" s="1" customFormat="1" ht="10.5" customHeight="1" x14ac:dyDescent="0.25">
      <c r="A149" s="79" t="s">
        <v>46</v>
      </c>
      <c r="B149" s="15">
        <v>3</v>
      </c>
      <c r="C149" s="15">
        <v>2</v>
      </c>
      <c r="D149" s="15">
        <v>1</v>
      </c>
      <c r="E149" s="15">
        <v>0</v>
      </c>
      <c r="F149" s="15">
        <v>0</v>
      </c>
      <c r="G149" s="15">
        <v>0</v>
      </c>
    </row>
    <row r="150" spans="1:7" s="1" customFormat="1" ht="10.5" customHeight="1" x14ac:dyDescent="0.25">
      <c r="A150" s="79" t="s">
        <v>45</v>
      </c>
      <c r="B150" s="15">
        <v>34</v>
      </c>
      <c r="C150" s="15">
        <v>15</v>
      </c>
      <c r="D150" s="15">
        <v>19</v>
      </c>
      <c r="E150" s="15">
        <v>0</v>
      </c>
      <c r="F150" s="15">
        <v>0</v>
      </c>
      <c r="G150" s="15">
        <v>0</v>
      </c>
    </row>
    <row r="151" spans="1:7" s="1" customFormat="1" ht="10.5" customHeight="1" x14ac:dyDescent="0.25">
      <c r="A151" s="79" t="s">
        <v>44</v>
      </c>
      <c r="B151" s="15">
        <v>0</v>
      </c>
      <c r="C151" s="15">
        <v>0</v>
      </c>
      <c r="D151" s="15">
        <v>0</v>
      </c>
      <c r="E151" s="15">
        <v>2</v>
      </c>
      <c r="F151" s="15">
        <v>2</v>
      </c>
      <c r="G151" s="15">
        <v>0</v>
      </c>
    </row>
    <row r="152" spans="1:7" s="1" customFormat="1" ht="10.5" customHeight="1" x14ac:dyDescent="0.25">
      <c r="A152" s="79" t="s">
        <v>131</v>
      </c>
      <c r="B152" s="15">
        <v>1</v>
      </c>
      <c r="C152" s="15">
        <v>1</v>
      </c>
      <c r="D152" s="15">
        <v>0</v>
      </c>
      <c r="E152" s="15">
        <v>4</v>
      </c>
      <c r="F152" s="15">
        <v>4</v>
      </c>
      <c r="G152" s="15">
        <v>0</v>
      </c>
    </row>
    <row r="153" spans="1:7" s="1" customFormat="1" ht="10.5" customHeight="1" x14ac:dyDescent="0.25">
      <c r="A153" s="79" t="s">
        <v>43</v>
      </c>
      <c r="B153" s="15">
        <v>133</v>
      </c>
      <c r="C153" s="15">
        <v>76</v>
      </c>
      <c r="D153" s="15">
        <v>57</v>
      </c>
      <c r="E153" s="15">
        <v>57881</v>
      </c>
      <c r="F153" s="15">
        <v>31053</v>
      </c>
      <c r="G153" s="15">
        <v>26828</v>
      </c>
    </row>
    <row r="154" spans="1:7" s="1" customFormat="1" ht="10.5" customHeight="1" x14ac:dyDescent="0.25">
      <c r="A154" s="79" t="s">
        <v>42</v>
      </c>
      <c r="B154" s="15">
        <v>0</v>
      </c>
      <c r="C154" s="15">
        <v>0</v>
      </c>
      <c r="D154" s="15">
        <v>0</v>
      </c>
      <c r="E154" s="15">
        <v>11</v>
      </c>
      <c r="F154" s="15">
        <v>4</v>
      </c>
      <c r="G154" s="15">
        <v>7</v>
      </c>
    </row>
    <row r="155" spans="1:7" s="1" customFormat="1" ht="10.5" customHeight="1" x14ac:dyDescent="0.25">
      <c r="A155" s="79" t="s">
        <v>41</v>
      </c>
      <c r="B155" s="15">
        <v>0</v>
      </c>
      <c r="C155" s="15">
        <v>0</v>
      </c>
      <c r="D155" s="15">
        <v>0</v>
      </c>
      <c r="E155" s="15">
        <v>84</v>
      </c>
      <c r="F155" s="15">
        <v>41</v>
      </c>
      <c r="G155" s="15">
        <v>43</v>
      </c>
    </row>
    <row r="156" spans="1:7" s="1" customFormat="1" ht="10.5" customHeight="1" x14ac:dyDescent="0.25">
      <c r="A156" s="79" t="s">
        <v>40</v>
      </c>
      <c r="B156" s="15">
        <v>0</v>
      </c>
      <c r="C156" s="15">
        <v>0</v>
      </c>
      <c r="D156" s="15">
        <v>0</v>
      </c>
      <c r="E156" s="15">
        <v>54</v>
      </c>
      <c r="F156" s="15">
        <v>30</v>
      </c>
      <c r="G156" s="15">
        <v>24</v>
      </c>
    </row>
    <row r="157" spans="1:7" s="1" customFormat="1" ht="10.5" customHeight="1" x14ac:dyDescent="0.25">
      <c r="A157" s="79" t="s">
        <v>39</v>
      </c>
      <c r="B157" s="15">
        <v>0</v>
      </c>
      <c r="C157" s="15">
        <v>0</v>
      </c>
      <c r="D157" s="15">
        <v>0</v>
      </c>
      <c r="E157" s="15">
        <v>116</v>
      </c>
      <c r="F157" s="15">
        <v>58</v>
      </c>
      <c r="G157" s="15">
        <v>58</v>
      </c>
    </row>
    <row r="158" spans="1:7" s="1" customFormat="1" ht="10.5" customHeight="1" x14ac:dyDescent="0.25">
      <c r="A158" s="79" t="s">
        <v>38</v>
      </c>
      <c r="B158" s="15">
        <v>0</v>
      </c>
      <c r="C158" s="15">
        <v>0</v>
      </c>
      <c r="D158" s="15">
        <v>0</v>
      </c>
      <c r="E158" s="15">
        <v>2468</v>
      </c>
      <c r="F158" s="15">
        <v>1078</v>
      </c>
      <c r="G158" s="15">
        <v>1390</v>
      </c>
    </row>
    <row r="159" spans="1:7" ht="10.5" customHeight="1" x14ac:dyDescent="0.2">
      <c r="A159" s="77"/>
      <c r="B159" s="115"/>
      <c r="C159" s="115"/>
      <c r="D159" s="116"/>
      <c r="E159" s="116"/>
      <c r="F159" s="116"/>
      <c r="G159" s="116"/>
    </row>
    <row r="160" spans="1:7" s="1" customFormat="1" ht="10.5" customHeight="1" x14ac:dyDescent="0.25">
      <c r="A160" s="78" t="s">
        <v>30</v>
      </c>
      <c r="B160" s="61">
        <v>1963</v>
      </c>
      <c r="C160" s="61">
        <v>955</v>
      </c>
      <c r="D160" s="61">
        <v>1008</v>
      </c>
      <c r="E160" s="61">
        <v>898798</v>
      </c>
      <c r="F160" s="61">
        <v>435186</v>
      </c>
      <c r="G160" s="61">
        <v>463612</v>
      </c>
    </row>
    <row r="161" spans="1:7" s="1" customFormat="1" ht="10.5" customHeight="1" x14ac:dyDescent="0.25">
      <c r="A161" s="79" t="s">
        <v>50</v>
      </c>
      <c r="B161" s="15">
        <v>0</v>
      </c>
      <c r="C161" s="15">
        <v>0</v>
      </c>
      <c r="D161" s="15">
        <v>0</v>
      </c>
      <c r="E161" s="15">
        <v>1492</v>
      </c>
      <c r="F161" s="15">
        <v>761</v>
      </c>
      <c r="G161" s="15">
        <v>731</v>
      </c>
    </row>
    <row r="162" spans="1:7" s="1" customFormat="1" ht="10.5" customHeight="1" x14ac:dyDescent="0.25">
      <c r="A162" s="79" t="s">
        <v>49</v>
      </c>
      <c r="B162" s="15">
        <v>1</v>
      </c>
      <c r="C162" s="15">
        <v>0</v>
      </c>
      <c r="D162" s="15">
        <v>1</v>
      </c>
      <c r="E162" s="15">
        <v>26</v>
      </c>
      <c r="F162" s="15">
        <v>13</v>
      </c>
      <c r="G162" s="15">
        <v>13</v>
      </c>
    </row>
    <row r="163" spans="1:7" s="1" customFormat="1" ht="10.5" customHeight="1" x14ac:dyDescent="0.25">
      <c r="A163" s="79" t="s">
        <v>48</v>
      </c>
      <c r="B163" s="15">
        <v>3</v>
      </c>
      <c r="C163" s="15">
        <v>1</v>
      </c>
      <c r="D163" s="15">
        <v>2</v>
      </c>
      <c r="E163" s="15">
        <v>8</v>
      </c>
      <c r="F163" s="15">
        <v>2</v>
      </c>
      <c r="G163" s="15">
        <v>6</v>
      </c>
    </row>
    <row r="164" spans="1:7" s="1" customFormat="1" ht="10.5" customHeight="1" x14ac:dyDescent="0.25">
      <c r="A164" s="79" t="s">
        <v>47</v>
      </c>
      <c r="B164" s="15">
        <v>698</v>
      </c>
      <c r="C164" s="15">
        <v>336</v>
      </c>
      <c r="D164" s="15">
        <v>362</v>
      </c>
      <c r="E164" s="15">
        <v>88</v>
      </c>
      <c r="F164" s="15">
        <v>39</v>
      </c>
      <c r="G164" s="15">
        <v>49</v>
      </c>
    </row>
    <row r="165" spans="1:7" s="1" customFormat="1" ht="10.5" customHeight="1" x14ac:dyDescent="0.25">
      <c r="A165" s="79" t="s">
        <v>134</v>
      </c>
      <c r="B165" s="15">
        <v>7</v>
      </c>
      <c r="C165" s="15">
        <v>3</v>
      </c>
      <c r="D165" s="15">
        <v>4</v>
      </c>
      <c r="E165" s="15">
        <v>7</v>
      </c>
      <c r="F165" s="15">
        <v>4</v>
      </c>
      <c r="G165" s="15">
        <v>3</v>
      </c>
    </row>
    <row r="166" spans="1:7" s="1" customFormat="1" ht="10.5" customHeight="1" x14ac:dyDescent="0.25">
      <c r="A166" s="79" t="s">
        <v>46</v>
      </c>
      <c r="B166" s="15">
        <v>3</v>
      </c>
      <c r="C166" s="15">
        <v>2</v>
      </c>
      <c r="D166" s="15">
        <v>1</v>
      </c>
      <c r="E166" s="15">
        <v>8</v>
      </c>
      <c r="F166" s="15">
        <v>5</v>
      </c>
      <c r="G166" s="15">
        <v>3</v>
      </c>
    </row>
    <row r="167" spans="1:7" s="1" customFormat="1" ht="10.5" customHeight="1" x14ac:dyDescent="0.25">
      <c r="A167" s="79" t="s">
        <v>45</v>
      </c>
      <c r="B167" s="15">
        <v>0</v>
      </c>
      <c r="C167" s="15">
        <v>0</v>
      </c>
      <c r="D167" s="15">
        <v>0</v>
      </c>
      <c r="E167" s="15">
        <v>5</v>
      </c>
      <c r="F167" s="15">
        <v>2</v>
      </c>
      <c r="G167" s="15">
        <v>3</v>
      </c>
    </row>
    <row r="168" spans="1:7" s="1" customFormat="1" ht="10.5" customHeight="1" x14ac:dyDescent="0.25">
      <c r="A168" s="79" t="s">
        <v>44</v>
      </c>
      <c r="B168" s="15">
        <v>2</v>
      </c>
      <c r="C168" s="15">
        <v>1</v>
      </c>
      <c r="D168" s="15">
        <v>1</v>
      </c>
      <c r="E168" s="15">
        <v>7</v>
      </c>
      <c r="F168" s="15">
        <v>3</v>
      </c>
      <c r="G168" s="15">
        <v>4</v>
      </c>
    </row>
    <row r="169" spans="1:7" s="1" customFormat="1" ht="10.5" customHeight="1" x14ac:dyDescent="0.25">
      <c r="A169" s="79" t="s">
        <v>131</v>
      </c>
      <c r="B169" s="15">
        <v>16</v>
      </c>
      <c r="C169" s="15">
        <v>4</v>
      </c>
      <c r="D169" s="15">
        <v>12</v>
      </c>
      <c r="E169" s="15">
        <v>6</v>
      </c>
      <c r="F169" s="15">
        <v>3</v>
      </c>
      <c r="G169" s="15">
        <v>3</v>
      </c>
    </row>
    <row r="170" spans="1:7" s="1" customFormat="1" ht="10.5" customHeight="1" x14ac:dyDescent="0.25">
      <c r="A170" s="79" t="s">
        <v>43</v>
      </c>
      <c r="B170" s="15">
        <v>1231</v>
      </c>
      <c r="C170" s="15">
        <v>606</v>
      </c>
      <c r="D170" s="15">
        <v>625</v>
      </c>
      <c r="E170" s="15">
        <v>889100</v>
      </c>
      <c r="F170" s="15">
        <v>430222</v>
      </c>
      <c r="G170" s="15">
        <v>458878</v>
      </c>
    </row>
    <row r="171" spans="1:7" s="1" customFormat="1" ht="10.5" customHeight="1" x14ac:dyDescent="0.25">
      <c r="A171" s="79" t="s">
        <v>42</v>
      </c>
      <c r="B171" s="15">
        <v>0</v>
      </c>
      <c r="C171" s="15">
        <v>0</v>
      </c>
      <c r="D171" s="15">
        <v>0</v>
      </c>
      <c r="E171" s="15">
        <v>74</v>
      </c>
      <c r="F171" s="15">
        <v>29</v>
      </c>
      <c r="G171" s="15">
        <v>45</v>
      </c>
    </row>
    <row r="172" spans="1:7" s="1" customFormat="1" ht="10.5" customHeight="1" x14ac:dyDescent="0.25">
      <c r="A172" s="79" t="s">
        <v>41</v>
      </c>
      <c r="B172" s="15">
        <v>0</v>
      </c>
      <c r="C172" s="15">
        <v>0</v>
      </c>
      <c r="D172" s="15">
        <v>0</v>
      </c>
      <c r="E172" s="15">
        <v>226</v>
      </c>
      <c r="F172" s="15">
        <v>121</v>
      </c>
      <c r="G172" s="15">
        <v>105</v>
      </c>
    </row>
    <row r="173" spans="1:7" s="1" customFormat="1" ht="10.5" customHeight="1" x14ac:dyDescent="0.25">
      <c r="A173" s="79" t="s">
        <v>40</v>
      </c>
      <c r="B173" s="15">
        <v>2</v>
      </c>
      <c r="C173" s="15">
        <v>2</v>
      </c>
      <c r="D173" s="15">
        <v>0</v>
      </c>
      <c r="E173" s="15">
        <v>580</v>
      </c>
      <c r="F173" s="15">
        <v>279</v>
      </c>
      <c r="G173" s="15">
        <v>301</v>
      </c>
    </row>
    <row r="174" spans="1:7" s="1" customFormat="1" ht="10.5" customHeight="1" x14ac:dyDescent="0.25">
      <c r="A174" s="79" t="s">
        <v>39</v>
      </c>
      <c r="B174" s="15">
        <v>0</v>
      </c>
      <c r="C174" s="15">
        <v>0</v>
      </c>
      <c r="D174" s="15">
        <v>0</v>
      </c>
      <c r="E174" s="15">
        <v>1804</v>
      </c>
      <c r="F174" s="15">
        <v>879</v>
      </c>
      <c r="G174" s="15">
        <v>925</v>
      </c>
    </row>
    <row r="175" spans="1:7" s="1" customFormat="1" ht="10.5" customHeight="1" x14ac:dyDescent="0.25">
      <c r="A175" s="79" t="s">
        <v>38</v>
      </c>
      <c r="B175" s="15">
        <v>0</v>
      </c>
      <c r="C175" s="15">
        <v>0</v>
      </c>
      <c r="D175" s="15">
        <v>0</v>
      </c>
      <c r="E175" s="15">
        <v>5367</v>
      </c>
      <c r="F175" s="15">
        <v>2824</v>
      </c>
      <c r="G175" s="15">
        <v>2543</v>
      </c>
    </row>
    <row r="176" spans="1:7" s="1" customFormat="1" ht="3.75" customHeight="1" thickBot="1" x14ac:dyDescent="0.3">
      <c r="A176" s="117"/>
      <c r="B176" s="118"/>
      <c r="C176" s="118"/>
      <c r="D176" s="118"/>
      <c r="E176" s="118"/>
      <c r="F176" s="118"/>
      <c r="G176" s="118"/>
    </row>
    <row r="177" spans="1:7" s="1" customFormat="1" ht="12.75" x14ac:dyDescent="0.25">
      <c r="A177" s="50"/>
      <c r="B177" s="12"/>
      <c r="C177" s="11"/>
      <c r="D177" s="11"/>
      <c r="E177" s="12"/>
      <c r="F177" s="11"/>
      <c r="G177" s="119" t="s">
        <v>18</v>
      </c>
    </row>
    <row r="178" spans="1:7" ht="12.75" customHeight="1" x14ac:dyDescent="0.2">
      <c r="A178" s="205" t="str">
        <f>A$1</f>
        <v>CUADRO Nº 2.3</v>
      </c>
      <c r="B178" s="205"/>
      <c r="C178" s="205"/>
      <c r="D178" s="205"/>
      <c r="E178" s="205"/>
      <c r="F178" s="205"/>
      <c r="G178" s="205"/>
    </row>
    <row r="179" spans="1:7" ht="20.25" customHeight="1" x14ac:dyDescent="0.2">
      <c r="A179" s="219" t="str">
        <f>A$2</f>
        <v>PERÚ: POBLACIÓN CENSADA INDÍGENA U ORIGINARIA DE LA AMAZONÍA, BLANCA(O), MESTIZA(O) Y OTRA(O) DE 12 Y MÁS AÑOS DE EDAD, POR SEXO, SEGÚN LENGUA O IDIOMA MATERNA APRENDIDA EN LA NIÑEZ, ÁREA DE RESIDENCIA Y DEPARTAMENTO, 2017</v>
      </c>
      <c r="B179" s="219"/>
      <c r="C179" s="219"/>
      <c r="D179" s="219"/>
      <c r="E179" s="219"/>
      <c r="F179" s="219"/>
      <c r="G179" s="219"/>
    </row>
    <row r="180" spans="1:7" customFormat="1" ht="12.75" customHeight="1" x14ac:dyDescent="0.2">
      <c r="A180" s="207" t="str">
        <f>A$3</f>
        <v>(Cifras absolutas)</v>
      </c>
      <c r="B180" s="207"/>
      <c r="C180" s="207"/>
      <c r="D180" s="207"/>
      <c r="E180" s="207"/>
      <c r="F180" s="207"/>
      <c r="G180" s="207"/>
    </row>
    <row r="181" spans="1:7" ht="10.5" customHeight="1" thickBot="1" x14ac:dyDescent="0.25">
      <c r="A181" s="48"/>
      <c r="B181" s="48"/>
      <c r="C181" s="48"/>
      <c r="D181" s="48"/>
      <c r="E181" s="48"/>
      <c r="F181" s="48"/>
      <c r="G181" s="48"/>
    </row>
    <row r="182" spans="1:7" ht="12.75" customHeight="1" thickBot="1" x14ac:dyDescent="0.25">
      <c r="A182" s="220" t="str">
        <f>A$5</f>
        <v>Lengua o idioma materna aprendida en la niñez / Área de residencia y departamento</v>
      </c>
      <c r="B182" s="210" t="str">
        <f>B$5</f>
        <v>Indígena u originaria de la Amazonía</v>
      </c>
      <c r="C182" s="211"/>
      <c r="D182" s="212"/>
      <c r="E182" s="210" t="s">
        <v>116</v>
      </c>
      <c r="F182" s="211"/>
      <c r="G182" s="212"/>
    </row>
    <row r="183" spans="1:7" ht="12.75" customHeight="1" thickBot="1" x14ac:dyDescent="0.25">
      <c r="A183" s="220"/>
      <c r="B183" s="53" t="str">
        <f t="shared" ref="B183:G183" si="2">B$6</f>
        <v>Total</v>
      </c>
      <c r="C183" s="54" t="str">
        <f t="shared" si="2"/>
        <v>Hombre</v>
      </c>
      <c r="D183" s="110" t="str">
        <f t="shared" si="2"/>
        <v>Mujer</v>
      </c>
      <c r="E183" s="54" t="str">
        <f t="shared" si="2"/>
        <v>Total</v>
      </c>
      <c r="F183" s="54" t="str">
        <f t="shared" si="2"/>
        <v>Hombre</v>
      </c>
      <c r="G183" s="110" t="str">
        <f t="shared" si="2"/>
        <v>Mujer</v>
      </c>
    </row>
    <row r="184" spans="1:7" ht="3.75" customHeight="1" x14ac:dyDescent="0.2">
      <c r="A184" s="77"/>
      <c r="B184" s="14"/>
      <c r="C184" s="14"/>
      <c r="D184" s="46"/>
      <c r="E184" s="46"/>
      <c r="F184" s="46"/>
      <c r="G184" s="46"/>
    </row>
    <row r="185" spans="1:7" s="1" customFormat="1" ht="10.5" customHeight="1" x14ac:dyDescent="0.25">
      <c r="A185" s="81" t="s">
        <v>29</v>
      </c>
      <c r="B185" s="61">
        <v>1501</v>
      </c>
      <c r="C185" s="61">
        <v>684</v>
      </c>
      <c r="D185" s="61">
        <v>817</v>
      </c>
      <c r="E185" s="61">
        <v>672667</v>
      </c>
      <c r="F185" s="61">
        <v>323007</v>
      </c>
      <c r="G185" s="61">
        <v>349660</v>
      </c>
    </row>
    <row r="186" spans="1:7" s="1" customFormat="1" ht="10.5" customHeight="1" x14ac:dyDescent="0.25">
      <c r="A186" s="79" t="s">
        <v>50</v>
      </c>
      <c r="B186" s="15">
        <v>15</v>
      </c>
      <c r="C186" s="15">
        <v>9</v>
      </c>
      <c r="D186" s="15">
        <v>6</v>
      </c>
      <c r="E186" s="15">
        <v>17517</v>
      </c>
      <c r="F186" s="15">
        <v>8197</v>
      </c>
      <c r="G186" s="15">
        <v>9320</v>
      </c>
    </row>
    <row r="187" spans="1:7" s="1" customFormat="1" ht="10.5" customHeight="1" x14ac:dyDescent="0.25">
      <c r="A187" s="79" t="s">
        <v>49</v>
      </c>
      <c r="B187" s="15">
        <v>1</v>
      </c>
      <c r="C187" s="15">
        <v>1</v>
      </c>
      <c r="D187" s="15">
        <v>0</v>
      </c>
      <c r="E187" s="15">
        <v>789</v>
      </c>
      <c r="F187" s="15">
        <v>379</v>
      </c>
      <c r="G187" s="15">
        <v>410</v>
      </c>
    </row>
    <row r="188" spans="1:7" s="1" customFormat="1" ht="10.5" customHeight="1" x14ac:dyDescent="0.25">
      <c r="A188" s="79" t="s">
        <v>48</v>
      </c>
      <c r="B188" s="15">
        <v>29</v>
      </c>
      <c r="C188" s="15">
        <v>9</v>
      </c>
      <c r="D188" s="15">
        <v>20</v>
      </c>
      <c r="E188" s="15">
        <v>35</v>
      </c>
      <c r="F188" s="15">
        <v>10</v>
      </c>
      <c r="G188" s="15">
        <v>25</v>
      </c>
    </row>
    <row r="189" spans="1:7" s="1" customFormat="1" ht="10.5" customHeight="1" x14ac:dyDescent="0.25">
      <c r="A189" s="79" t="s">
        <v>47</v>
      </c>
      <c r="B189" s="15">
        <v>56</v>
      </c>
      <c r="C189" s="15">
        <v>24</v>
      </c>
      <c r="D189" s="15">
        <v>32</v>
      </c>
      <c r="E189" s="15">
        <v>28</v>
      </c>
      <c r="F189" s="15">
        <v>12</v>
      </c>
      <c r="G189" s="15">
        <v>16</v>
      </c>
    </row>
    <row r="190" spans="1:7" s="1" customFormat="1" ht="10.5" customHeight="1" x14ac:dyDescent="0.25">
      <c r="A190" s="79" t="s">
        <v>134</v>
      </c>
      <c r="B190" s="15">
        <v>60</v>
      </c>
      <c r="C190" s="15">
        <v>26</v>
      </c>
      <c r="D190" s="15">
        <v>34</v>
      </c>
      <c r="E190" s="15">
        <v>28</v>
      </c>
      <c r="F190" s="15">
        <v>15</v>
      </c>
      <c r="G190" s="15">
        <v>13</v>
      </c>
    </row>
    <row r="191" spans="1:7" s="1" customFormat="1" ht="10.5" customHeight="1" x14ac:dyDescent="0.25">
      <c r="A191" s="79" t="s">
        <v>46</v>
      </c>
      <c r="B191" s="15">
        <v>4</v>
      </c>
      <c r="C191" s="15">
        <v>1</v>
      </c>
      <c r="D191" s="15">
        <v>3</v>
      </c>
      <c r="E191" s="15">
        <v>5</v>
      </c>
      <c r="F191" s="15">
        <v>2</v>
      </c>
      <c r="G191" s="15">
        <v>3</v>
      </c>
    </row>
    <row r="192" spans="1:7" s="1" customFormat="1" ht="10.5" customHeight="1" x14ac:dyDescent="0.25">
      <c r="A192" s="79" t="s">
        <v>45</v>
      </c>
      <c r="B192" s="15">
        <v>5</v>
      </c>
      <c r="C192" s="15">
        <v>3</v>
      </c>
      <c r="D192" s="15">
        <v>2</v>
      </c>
      <c r="E192" s="15">
        <v>10</v>
      </c>
      <c r="F192" s="15">
        <v>6</v>
      </c>
      <c r="G192" s="15">
        <v>4</v>
      </c>
    </row>
    <row r="193" spans="1:7" s="1" customFormat="1" ht="10.5" customHeight="1" x14ac:dyDescent="0.25">
      <c r="A193" s="79" t="s">
        <v>44</v>
      </c>
      <c r="B193" s="15">
        <v>5</v>
      </c>
      <c r="C193" s="15">
        <v>4</v>
      </c>
      <c r="D193" s="15">
        <v>1</v>
      </c>
      <c r="E193" s="15">
        <v>13</v>
      </c>
      <c r="F193" s="15">
        <v>5</v>
      </c>
      <c r="G193" s="15">
        <v>8</v>
      </c>
    </row>
    <row r="194" spans="1:7" s="1" customFormat="1" ht="10.5" customHeight="1" x14ac:dyDescent="0.25">
      <c r="A194" s="79" t="s">
        <v>131</v>
      </c>
      <c r="B194" s="15">
        <v>22</v>
      </c>
      <c r="C194" s="15">
        <v>9</v>
      </c>
      <c r="D194" s="15">
        <v>13</v>
      </c>
      <c r="E194" s="15">
        <v>50</v>
      </c>
      <c r="F194" s="15">
        <v>28</v>
      </c>
      <c r="G194" s="15">
        <v>22</v>
      </c>
    </row>
    <row r="195" spans="1:7" s="1" customFormat="1" ht="10.5" customHeight="1" x14ac:dyDescent="0.25">
      <c r="A195" s="79" t="s">
        <v>43</v>
      </c>
      <c r="B195" s="15">
        <v>1300</v>
      </c>
      <c r="C195" s="15">
        <v>596</v>
      </c>
      <c r="D195" s="15">
        <v>704</v>
      </c>
      <c r="E195" s="15">
        <v>647688</v>
      </c>
      <c r="F195" s="15">
        <v>310961</v>
      </c>
      <c r="G195" s="15">
        <v>336727</v>
      </c>
    </row>
    <row r="196" spans="1:7" s="1" customFormat="1" ht="10.5" customHeight="1" x14ac:dyDescent="0.25">
      <c r="A196" s="79" t="s">
        <v>42</v>
      </c>
      <c r="B196" s="15">
        <v>0</v>
      </c>
      <c r="C196" s="15">
        <v>0</v>
      </c>
      <c r="D196" s="15">
        <v>0</v>
      </c>
      <c r="E196" s="15">
        <v>265</v>
      </c>
      <c r="F196" s="15">
        <v>128</v>
      </c>
      <c r="G196" s="15">
        <v>137</v>
      </c>
    </row>
    <row r="197" spans="1:7" s="1" customFormat="1" ht="10.5" customHeight="1" x14ac:dyDescent="0.25">
      <c r="A197" s="79" t="s">
        <v>41</v>
      </c>
      <c r="B197" s="15">
        <v>2</v>
      </c>
      <c r="C197" s="15">
        <v>0</v>
      </c>
      <c r="D197" s="15">
        <v>2</v>
      </c>
      <c r="E197" s="15">
        <v>1669</v>
      </c>
      <c r="F197" s="15">
        <v>946</v>
      </c>
      <c r="G197" s="15">
        <v>723</v>
      </c>
    </row>
    <row r="198" spans="1:7" s="1" customFormat="1" ht="10.5" customHeight="1" x14ac:dyDescent="0.25">
      <c r="A198" s="79" t="s">
        <v>40</v>
      </c>
      <c r="B198" s="15">
        <v>2</v>
      </c>
      <c r="C198" s="15">
        <v>2</v>
      </c>
      <c r="D198" s="15">
        <v>0</v>
      </c>
      <c r="E198" s="15">
        <v>253</v>
      </c>
      <c r="F198" s="15">
        <v>124</v>
      </c>
      <c r="G198" s="15">
        <v>129</v>
      </c>
    </row>
    <row r="199" spans="1:7" s="1" customFormat="1" ht="10.5" customHeight="1" x14ac:dyDescent="0.25">
      <c r="A199" s="79" t="s">
        <v>39</v>
      </c>
      <c r="B199" s="15">
        <v>0</v>
      </c>
      <c r="C199" s="15">
        <v>0</v>
      </c>
      <c r="D199" s="15">
        <v>0</v>
      </c>
      <c r="E199" s="15">
        <v>522</v>
      </c>
      <c r="F199" s="15">
        <v>303</v>
      </c>
      <c r="G199" s="15">
        <v>219</v>
      </c>
    </row>
    <row r="200" spans="1:7" s="1" customFormat="1" ht="10.5" customHeight="1" x14ac:dyDescent="0.25">
      <c r="A200" s="79" t="s">
        <v>38</v>
      </c>
      <c r="B200" s="15">
        <v>0</v>
      </c>
      <c r="C200" s="15">
        <v>0</v>
      </c>
      <c r="D200" s="15">
        <v>0</v>
      </c>
      <c r="E200" s="15">
        <v>3795</v>
      </c>
      <c r="F200" s="15">
        <v>1891</v>
      </c>
      <c r="G200" s="15">
        <v>1904</v>
      </c>
    </row>
    <row r="201" spans="1:7" s="1" customFormat="1" ht="10.5" customHeight="1" x14ac:dyDescent="0.25">
      <c r="A201" s="79"/>
      <c r="B201" s="114"/>
      <c r="C201" s="114"/>
      <c r="D201" s="114"/>
      <c r="E201" s="114"/>
      <c r="F201" s="114"/>
      <c r="G201" s="114"/>
    </row>
    <row r="202" spans="1:7" s="1" customFormat="1" ht="10.5" customHeight="1" x14ac:dyDescent="0.25">
      <c r="A202" s="78" t="s">
        <v>28</v>
      </c>
      <c r="B202" s="61">
        <v>6969</v>
      </c>
      <c r="C202" s="61">
        <v>3473</v>
      </c>
      <c r="D202" s="61">
        <v>3496</v>
      </c>
      <c r="E202" s="61">
        <v>225050</v>
      </c>
      <c r="F202" s="61">
        <v>113151</v>
      </c>
      <c r="G202" s="61">
        <v>111899</v>
      </c>
    </row>
    <row r="203" spans="1:7" s="1" customFormat="1" ht="10.5" customHeight="1" x14ac:dyDescent="0.25">
      <c r="A203" s="79" t="s">
        <v>50</v>
      </c>
      <c r="B203" s="15">
        <v>74</v>
      </c>
      <c r="C203" s="15">
        <v>33</v>
      </c>
      <c r="D203" s="15">
        <v>41</v>
      </c>
      <c r="E203" s="15">
        <v>39557</v>
      </c>
      <c r="F203" s="15">
        <v>19796</v>
      </c>
      <c r="G203" s="15">
        <v>19761</v>
      </c>
    </row>
    <row r="204" spans="1:7" s="1" customFormat="1" ht="10.5" customHeight="1" x14ac:dyDescent="0.25">
      <c r="A204" s="79" t="s">
        <v>49</v>
      </c>
      <c r="B204" s="15">
        <v>5</v>
      </c>
      <c r="C204" s="15">
        <v>1</v>
      </c>
      <c r="D204" s="15">
        <v>4</v>
      </c>
      <c r="E204" s="15">
        <v>273</v>
      </c>
      <c r="F204" s="15">
        <v>177</v>
      </c>
      <c r="G204" s="15">
        <v>96</v>
      </c>
    </row>
    <row r="205" spans="1:7" s="1" customFormat="1" ht="10.5" customHeight="1" x14ac:dyDescent="0.25">
      <c r="A205" s="79" t="s">
        <v>48</v>
      </c>
      <c r="B205" s="15">
        <v>1151</v>
      </c>
      <c r="C205" s="15">
        <v>576</v>
      </c>
      <c r="D205" s="15">
        <v>575</v>
      </c>
      <c r="E205" s="15">
        <v>102</v>
      </c>
      <c r="F205" s="15">
        <v>50</v>
      </c>
      <c r="G205" s="15">
        <v>52</v>
      </c>
    </row>
    <row r="206" spans="1:7" s="1" customFormat="1" ht="10.5" customHeight="1" x14ac:dyDescent="0.25">
      <c r="A206" s="79" t="s">
        <v>47</v>
      </c>
      <c r="B206" s="15">
        <v>17</v>
      </c>
      <c r="C206" s="15">
        <v>10</v>
      </c>
      <c r="D206" s="15">
        <v>7</v>
      </c>
      <c r="E206" s="15">
        <v>2</v>
      </c>
      <c r="F206" s="15">
        <v>2</v>
      </c>
      <c r="G206" s="15">
        <v>0</v>
      </c>
    </row>
    <row r="207" spans="1:7" s="1" customFormat="1" ht="10.5" customHeight="1" x14ac:dyDescent="0.25">
      <c r="A207" s="79" t="s">
        <v>134</v>
      </c>
      <c r="B207" s="15">
        <v>35</v>
      </c>
      <c r="C207" s="15">
        <v>19</v>
      </c>
      <c r="D207" s="15">
        <v>16</v>
      </c>
      <c r="E207" s="15">
        <v>6</v>
      </c>
      <c r="F207" s="15">
        <v>3</v>
      </c>
      <c r="G207" s="15">
        <v>3</v>
      </c>
    </row>
    <row r="208" spans="1:7" s="1" customFormat="1" ht="10.5" customHeight="1" x14ac:dyDescent="0.25">
      <c r="A208" s="79" t="s">
        <v>46</v>
      </c>
      <c r="B208" s="15">
        <v>6</v>
      </c>
      <c r="C208" s="15">
        <v>3</v>
      </c>
      <c r="D208" s="15">
        <v>3</v>
      </c>
      <c r="E208" s="15">
        <v>1</v>
      </c>
      <c r="F208" s="15">
        <v>1</v>
      </c>
      <c r="G208" s="15">
        <v>0</v>
      </c>
    </row>
    <row r="209" spans="1:7" s="1" customFormat="1" ht="10.5" customHeight="1" x14ac:dyDescent="0.25">
      <c r="A209" s="79" t="s">
        <v>45</v>
      </c>
      <c r="B209" s="15">
        <v>1829</v>
      </c>
      <c r="C209" s="15">
        <v>903</v>
      </c>
      <c r="D209" s="15">
        <v>926</v>
      </c>
      <c r="E209" s="15">
        <v>143</v>
      </c>
      <c r="F209" s="15">
        <v>74</v>
      </c>
      <c r="G209" s="15">
        <v>69</v>
      </c>
    </row>
    <row r="210" spans="1:7" s="1" customFormat="1" ht="10.5" customHeight="1" x14ac:dyDescent="0.25">
      <c r="A210" s="79" t="s">
        <v>44</v>
      </c>
      <c r="B210" s="15">
        <v>6</v>
      </c>
      <c r="C210" s="15">
        <v>5</v>
      </c>
      <c r="D210" s="15">
        <v>1</v>
      </c>
      <c r="E210" s="15">
        <v>3</v>
      </c>
      <c r="F210" s="15">
        <v>3</v>
      </c>
      <c r="G210" s="15">
        <v>0</v>
      </c>
    </row>
    <row r="211" spans="1:7" s="1" customFormat="1" ht="10.5" customHeight="1" x14ac:dyDescent="0.25">
      <c r="A211" s="79" t="s">
        <v>131</v>
      </c>
      <c r="B211" s="15">
        <v>71</v>
      </c>
      <c r="C211" s="15">
        <v>31</v>
      </c>
      <c r="D211" s="15">
        <v>40</v>
      </c>
      <c r="E211" s="15">
        <v>22</v>
      </c>
      <c r="F211" s="15">
        <v>14</v>
      </c>
      <c r="G211" s="15">
        <v>8</v>
      </c>
    </row>
    <row r="212" spans="1:7" s="1" customFormat="1" ht="10.5" customHeight="1" x14ac:dyDescent="0.25">
      <c r="A212" s="79" t="s">
        <v>43</v>
      </c>
      <c r="B212" s="15">
        <v>3767</v>
      </c>
      <c r="C212" s="15">
        <v>1888</v>
      </c>
      <c r="D212" s="15">
        <v>1879</v>
      </c>
      <c r="E212" s="15">
        <v>164010</v>
      </c>
      <c r="F212" s="15">
        <v>82615</v>
      </c>
      <c r="G212" s="15">
        <v>81395</v>
      </c>
    </row>
    <row r="213" spans="1:7" s="1" customFormat="1" ht="10.5" customHeight="1" x14ac:dyDescent="0.25">
      <c r="A213" s="79" t="s">
        <v>42</v>
      </c>
      <c r="B213" s="15">
        <v>0</v>
      </c>
      <c r="C213" s="15">
        <v>0</v>
      </c>
      <c r="D213" s="15">
        <v>0</v>
      </c>
      <c r="E213" s="15">
        <v>115</v>
      </c>
      <c r="F213" s="15">
        <v>53</v>
      </c>
      <c r="G213" s="15">
        <v>62</v>
      </c>
    </row>
    <row r="214" spans="1:7" s="1" customFormat="1" ht="10.5" customHeight="1" x14ac:dyDescent="0.25">
      <c r="A214" s="79" t="s">
        <v>41</v>
      </c>
      <c r="B214" s="15">
        <v>5</v>
      </c>
      <c r="C214" s="15">
        <v>2</v>
      </c>
      <c r="D214" s="15">
        <v>3</v>
      </c>
      <c r="E214" s="15">
        <v>1798</v>
      </c>
      <c r="F214" s="15">
        <v>877</v>
      </c>
      <c r="G214" s="15">
        <v>921</v>
      </c>
    </row>
    <row r="215" spans="1:7" s="1" customFormat="1" ht="10.5" customHeight="1" x14ac:dyDescent="0.25">
      <c r="A215" s="79" t="s">
        <v>40</v>
      </c>
      <c r="B215" s="15">
        <v>0</v>
      </c>
      <c r="C215" s="15">
        <v>0</v>
      </c>
      <c r="D215" s="15">
        <v>0</v>
      </c>
      <c r="E215" s="15">
        <v>101</v>
      </c>
      <c r="F215" s="15">
        <v>46</v>
      </c>
      <c r="G215" s="15">
        <v>55</v>
      </c>
    </row>
    <row r="216" spans="1:7" s="1" customFormat="1" ht="10.5" customHeight="1" x14ac:dyDescent="0.25">
      <c r="A216" s="79" t="s">
        <v>39</v>
      </c>
      <c r="B216" s="15">
        <v>2</v>
      </c>
      <c r="C216" s="15">
        <v>1</v>
      </c>
      <c r="D216" s="15">
        <v>1</v>
      </c>
      <c r="E216" s="15">
        <v>221</v>
      </c>
      <c r="F216" s="15">
        <v>116</v>
      </c>
      <c r="G216" s="15">
        <v>105</v>
      </c>
    </row>
    <row r="217" spans="1:7" s="1" customFormat="1" ht="10.5" customHeight="1" x14ac:dyDescent="0.25">
      <c r="A217" s="79" t="s">
        <v>38</v>
      </c>
      <c r="B217" s="15">
        <v>1</v>
      </c>
      <c r="C217" s="15">
        <v>1</v>
      </c>
      <c r="D217" s="15">
        <v>0</v>
      </c>
      <c r="E217" s="15">
        <v>18696</v>
      </c>
      <c r="F217" s="15">
        <v>9324</v>
      </c>
      <c r="G217" s="15">
        <v>9372</v>
      </c>
    </row>
    <row r="218" spans="1:7" s="1" customFormat="1" ht="10.5" customHeight="1" x14ac:dyDescent="0.25">
      <c r="A218" s="79"/>
      <c r="B218" s="114"/>
      <c r="C218" s="114"/>
      <c r="D218" s="114"/>
      <c r="E218" s="114"/>
      <c r="F218" s="114"/>
      <c r="G218" s="114"/>
    </row>
    <row r="219" spans="1:7" s="1" customFormat="1" ht="10.5" customHeight="1" x14ac:dyDescent="0.25">
      <c r="A219" s="78" t="s">
        <v>27</v>
      </c>
      <c r="B219" s="61">
        <v>48</v>
      </c>
      <c r="C219" s="61">
        <v>24</v>
      </c>
      <c r="D219" s="61">
        <v>24</v>
      </c>
      <c r="E219" s="61">
        <v>50752</v>
      </c>
      <c r="F219" s="61">
        <v>25671</v>
      </c>
      <c r="G219" s="61">
        <v>25081</v>
      </c>
    </row>
    <row r="220" spans="1:7" s="1" customFormat="1" ht="10.5" customHeight="1" x14ac:dyDescent="0.25">
      <c r="A220" s="79" t="s">
        <v>50</v>
      </c>
      <c r="B220" s="15">
        <v>1</v>
      </c>
      <c r="C220" s="15">
        <v>1</v>
      </c>
      <c r="D220" s="15">
        <v>0</v>
      </c>
      <c r="E220" s="15">
        <v>15141</v>
      </c>
      <c r="F220" s="15">
        <v>7259</v>
      </c>
      <c r="G220" s="15">
        <v>7882</v>
      </c>
    </row>
    <row r="221" spans="1:7" s="1" customFormat="1" ht="10.5" customHeight="1" x14ac:dyDescent="0.25">
      <c r="A221" s="79" t="s">
        <v>49</v>
      </c>
      <c r="B221" s="15">
        <v>0</v>
      </c>
      <c r="C221" s="15">
        <v>0</v>
      </c>
      <c r="D221" s="15">
        <v>0</v>
      </c>
      <c r="E221" s="15">
        <v>7</v>
      </c>
      <c r="F221" s="15">
        <v>5</v>
      </c>
      <c r="G221" s="15">
        <v>2</v>
      </c>
    </row>
    <row r="222" spans="1:7" s="1" customFormat="1" ht="10.5" customHeight="1" x14ac:dyDescent="0.25">
      <c r="A222" s="79" t="s">
        <v>48</v>
      </c>
      <c r="B222" s="15">
        <v>14</v>
      </c>
      <c r="C222" s="15">
        <v>8</v>
      </c>
      <c r="D222" s="15">
        <v>6</v>
      </c>
      <c r="E222" s="15">
        <v>4</v>
      </c>
      <c r="F222" s="15">
        <v>2</v>
      </c>
      <c r="G222" s="15">
        <v>2</v>
      </c>
    </row>
    <row r="223" spans="1:7" s="1" customFormat="1" ht="10.5" customHeight="1" x14ac:dyDescent="0.25">
      <c r="A223" s="79" t="s">
        <v>47</v>
      </c>
      <c r="B223" s="15">
        <v>0</v>
      </c>
      <c r="C223" s="15">
        <v>0</v>
      </c>
      <c r="D223" s="15">
        <v>0</v>
      </c>
      <c r="E223" s="15">
        <v>0</v>
      </c>
      <c r="F223" s="15">
        <v>0</v>
      </c>
      <c r="G223" s="15">
        <v>0</v>
      </c>
    </row>
    <row r="224" spans="1:7" s="1" customFormat="1" ht="10.5" customHeight="1" x14ac:dyDescent="0.25">
      <c r="A224" s="79" t="s">
        <v>134</v>
      </c>
      <c r="B224" s="15">
        <v>2</v>
      </c>
      <c r="C224" s="15">
        <v>1</v>
      </c>
      <c r="D224" s="15">
        <v>1</v>
      </c>
      <c r="E224" s="15">
        <v>0</v>
      </c>
      <c r="F224" s="15">
        <v>0</v>
      </c>
      <c r="G224" s="15">
        <v>0</v>
      </c>
    </row>
    <row r="225" spans="1:7" s="1" customFormat="1" ht="10.5" customHeight="1" x14ac:dyDescent="0.25">
      <c r="A225" s="79" t="s">
        <v>46</v>
      </c>
      <c r="B225" s="15">
        <v>0</v>
      </c>
      <c r="C225" s="15">
        <v>0</v>
      </c>
      <c r="D225" s="15">
        <v>0</v>
      </c>
      <c r="E225" s="15">
        <v>1</v>
      </c>
      <c r="F225" s="15">
        <v>1</v>
      </c>
      <c r="G225" s="15">
        <v>0</v>
      </c>
    </row>
    <row r="226" spans="1:7" s="1" customFormat="1" ht="10.5" customHeight="1" x14ac:dyDescent="0.25">
      <c r="A226" s="79" t="s">
        <v>45</v>
      </c>
      <c r="B226" s="15">
        <v>0</v>
      </c>
      <c r="C226" s="15">
        <v>0</v>
      </c>
      <c r="D226" s="15">
        <v>0</v>
      </c>
      <c r="E226" s="15">
        <v>1</v>
      </c>
      <c r="F226" s="15">
        <v>1</v>
      </c>
      <c r="G226" s="15">
        <v>0</v>
      </c>
    </row>
    <row r="227" spans="1:7" s="1" customFormat="1" ht="10.5" customHeight="1" x14ac:dyDescent="0.25">
      <c r="A227" s="79" t="s">
        <v>44</v>
      </c>
      <c r="B227" s="15">
        <v>0</v>
      </c>
      <c r="C227" s="15">
        <v>0</v>
      </c>
      <c r="D227" s="15">
        <v>0</v>
      </c>
      <c r="E227" s="15">
        <v>0</v>
      </c>
      <c r="F227" s="15">
        <v>0</v>
      </c>
      <c r="G227" s="15">
        <v>0</v>
      </c>
    </row>
    <row r="228" spans="1:7" s="1" customFormat="1" ht="10.5" customHeight="1" x14ac:dyDescent="0.25">
      <c r="A228" s="79" t="s">
        <v>131</v>
      </c>
      <c r="B228" s="15">
        <v>0</v>
      </c>
      <c r="C228" s="15">
        <v>0</v>
      </c>
      <c r="D228" s="15">
        <v>0</v>
      </c>
      <c r="E228" s="15">
        <v>0</v>
      </c>
      <c r="F228" s="15">
        <v>0</v>
      </c>
      <c r="G228" s="15">
        <v>0</v>
      </c>
    </row>
    <row r="229" spans="1:7" s="1" customFormat="1" ht="10.5" customHeight="1" x14ac:dyDescent="0.25">
      <c r="A229" s="79" t="s">
        <v>43</v>
      </c>
      <c r="B229" s="15">
        <v>31</v>
      </c>
      <c r="C229" s="15">
        <v>14</v>
      </c>
      <c r="D229" s="15">
        <v>17</v>
      </c>
      <c r="E229" s="15">
        <v>34315</v>
      </c>
      <c r="F229" s="15">
        <v>17809</v>
      </c>
      <c r="G229" s="15">
        <v>16506</v>
      </c>
    </row>
    <row r="230" spans="1:7" s="1" customFormat="1" ht="10.5" customHeight="1" x14ac:dyDescent="0.25">
      <c r="A230" s="79" t="s">
        <v>42</v>
      </c>
      <c r="B230" s="15">
        <v>0</v>
      </c>
      <c r="C230" s="15">
        <v>0</v>
      </c>
      <c r="D230" s="15">
        <v>0</v>
      </c>
      <c r="E230" s="15">
        <v>6</v>
      </c>
      <c r="F230" s="15">
        <v>3</v>
      </c>
      <c r="G230" s="15">
        <v>3</v>
      </c>
    </row>
    <row r="231" spans="1:7" s="1" customFormat="1" ht="10.5" customHeight="1" x14ac:dyDescent="0.25">
      <c r="A231" s="79" t="s">
        <v>41</v>
      </c>
      <c r="B231" s="15">
        <v>0</v>
      </c>
      <c r="C231" s="15">
        <v>0</v>
      </c>
      <c r="D231" s="15">
        <v>0</v>
      </c>
      <c r="E231" s="15">
        <v>31</v>
      </c>
      <c r="F231" s="15">
        <v>25</v>
      </c>
      <c r="G231" s="15">
        <v>6</v>
      </c>
    </row>
    <row r="232" spans="1:7" s="1" customFormat="1" ht="10.5" customHeight="1" x14ac:dyDescent="0.25">
      <c r="A232" s="79" t="s">
        <v>40</v>
      </c>
      <c r="B232" s="15">
        <v>0</v>
      </c>
      <c r="C232" s="15">
        <v>0</v>
      </c>
      <c r="D232" s="15">
        <v>0</v>
      </c>
      <c r="E232" s="15">
        <v>49</v>
      </c>
      <c r="F232" s="15">
        <v>26</v>
      </c>
      <c r="G232" s="15">
        <v>23</v>
      </c>
    </row>
    <row r="233" spans="1:7" s="1" customFormat="1" ht="10.5" customHeight="1" x14ac:dyDescent="0.25">
      <c r="A233" s="79" t="s">
        <v>39</v>
      </c>
      <c r="B233" s="15">
        <v>0</v>
      </c>
      <c r="C233" s="15">
        <v>0</v>
      </c>
      <c r="D233" s="15">
        <v>0</v>
      </c>
      <c r="E233" s="15">
        <v>93</v>
      </c>
      <c r="F233" s="15">
        <v>48</v>
      </c>
      <c r="G233" s="15">
        <v>45</v>
      </c>
    </row>
    <row r="234" spans="1:7" s="1" customFormat="1" ht="10.5" customHeight="1" x14ac:dyDescent="0.25">
      <c r="A234" s="79" t="s">
        <v>38</v>
      </c>
      <c r="B234" s="15">
        <v>0</v>
      </c>
      <c r="C234" s="15">
        <v>0</v>
      </c>
      <c r="D234" s="15">
        <v>0</v>
      </c>
      <c r="E234" s="15">
        <v>1104</v>
      </c>
      <c r="F234" s="15">
        <v>492</v>
      </c>
      <c r="G234" s="15">
        <v>612</v>
      </c>
    </row>
    <row r="235" spans="1:7" s="1" customFormat="1" ht="3.75" customHeight="1" thickBot="1" x14ac:dyDescent="0.3">
      <c r="A235" s="117"/>
      <c r="B235" s="118"/>
      <c r="C235" s="118"/>
      <c r="D235" s="118"/>
      <c r="E235" s="118"/>
      <c r="F235" s="118"/>
      <c r="G235" s="118"/>
    </row>
    <row r="236" spans="1:7" s="1" customFormat="1" ht="12.75" x14ac:dyDescent="0.25">
      <c r="A236" s="50"/>
      <c r="B236" s="12"/>
      <c r="C236" s="11"/>
      <c r="D236" s="11"/>
      <c r="E236" s="12"/>
      <c r="F236" s="11"/>
      <c r="G236" s="119" t="s">
        <v>18</v>
      </c>
    </row>
    <row r="237" spans="1:7" ht="12.75" customHeight="1" x14ac:dyDescent="0.2">
      <c r="A237" s="205" t="str">
        <f>A$1</f>
        <v>CUADRO Nº 2.3</v>
      </c>
      <c r="B237" s="205"/>
      <c r="C237" s="205"/>
      <c r="D237" s="205"/>
      <c r="E237" s="205"/>
      <c r="F237" s="205"/>
      <c r="G237" s="205"/>
    </row>
    <row r="238" spans="1:7" ht="20.25" customHeight="1" x14ac:dyDescent="0.2">
      <c r="A238" s="219" t="str">
        <f>A$2</f>
        <v>PERÚ: POBLACIÓN CENSADA INDÍGENA U ORIGINARIA DE LA AMAZONÍA, BLANCA(O), MESTIZA(O) Y OTRA(O) DE 12 Y MÁS AÑOS DE EDAD, POR SEXO, SEGÚN LENGUA O IDIOMA MATERNA APRENDIDA EN LA NIÑEZ, ÁREA DE RESIDENCIA Y DEPARTAMENTO, 2017</v>
      </c>
      <c r="B238" s="219"/>
      <c r="C238" s="219"/>
      <c r="D238" s="219"/>
      <c r="E238" s="219"/>
      <c r="F238" s="219"/>
      <c r="G238" s="219"/>
    </row>
    <row r="239" spans="1:7" customFormat="1" ht="12.75" customHeight="1" x14ac:dyDescent="0.2">
      <c r="A239" s="207" t="str">
        <f>A$3</f>
        <v>(Cifras absolutas)</v>
      </c>
      <c r="B239" s="207"/>
      <c r="C239" s="207"/>
      <c r="D239" s="207"/>
      <c r="E239" s="207"/>
      <c r="F239" s="207"/>
      <c r="G239" s="207"/>
    </row>
    <row r="240" spans="1:7" ht="10.5" customHeight="1" thickBot="1" x14ac:dyDescent="0.25">
      <c r="A240" s="48"/>
      <c r="B240" s="48"/>
      <c r="C240" s="48"/>
      <c r="D240" s="48"/>
      <c r="E240" s="48"/>
      <c r="F240" s="48"/>
      <c r="G240" s="48"/>
    </row>
    <row r="241" spans="1:7" ht="12.75" customHeight="1" thickBot="1" x14ac:dyDescent="0.25">
      <c r="A241" s="220" t="str">
        <f>A$5</f>
        <v>Lengua o idioma materna aprendida en la niñez / Área de residencia y departamento</v>
      </c>
      <c r="B241" s="210" t="str">
        <f>B$5</f>
        <v>Indígena u originaria de la Amazonía</v>
      </c>
      <c r="C241" s="211"/>
      <c r="D241" s="212"/>
      <c r="E241" s="210" t="s">
        <v>116</v>
      </c>
      <c r="F241" s="211"/>
      <c r="G241" s="212"/>
    </row>
    <row r="242" spans="1:7" ht="12.75" customHeight="1" thickBot="1" x14ac:dyDescent="0.25">
      <c r="A242" s="220"/>
      <c r="B242" s="53" t="str">
        <f t="shared" ref="B242:G242" si="3">B$6</f>
        <v>Total</v>
      </c>
      <c r="C242" s="54" t="str">
        <f t="shared" si="3"/>
        <v>Hombre</v>
      </c>
      <c r="D242" s="110" t="str">
        <f t="shared" si="3"/>
        <v>Mujer</v>
      </c>
      <c r="E242" s="54" t="str">
        <f t="shared" si="3"/>
        <v>Total</v>
      </c>
      <c r="F242" s="54" t="str">
        <f t="shared" si="3"/>
        <v>Hombre</v>
      </c>
      <c r="G242" s="110" t="str">
        <f t="shared" si="3"/>
        <v>Mujer</v>
      </c>
    </row>
    <row r="243" spans="1:7" ht="3.75" customHeight="1" x14ac:dyDescent="0.2">
      <c r="A243" s="77"/>
      <c r="B243" s="14"/>
      <c r="C243" s="14"/>
      <c r="D243" s="46"/>
      <c r="E243" s="46"/>
      <c r="F243" s="46"/>
      <c r="G243" s="46"/>
    </row>
    <row r="244" spans="1:7" s="1" customFormat="1" ht="10.5" customHeight="1" x14ac:dyDescent="0.25">
      <c r="A244" s="78" t="s">
        <v>26</v>
      </c>
      <c r="B244" s="61">
        <v>2211</v>
      </c>
      <c r="C244" s="61">
        <v>1090</v>
      </c>
      <c r="D244" s="61">
        <v>1121</v>
      </c>
      <c r="E244" s="61">
        <v>298719</v>
      </c>
      <c r="F244" s="61">
        <v>148483</v>
      </c>
      <c r="G244" s="61">
        <v>150236</v>
      </c>
    </row>
    <row r="245" spans="1:7" s="1" customFormat="1" ht="10.5" customHeight="1" x14ac:dyDescent="0.25">
      <c r="A245" s="79" t="s">
        <v>50</v>
      </c>
      <c r="B245" s="15">
        <v>19</v>
      </c>
      <c r="C245" s="15">
        <v>12</v>
      </c>
      <c r="D245" s="15">
        <v>7</v>
      </c>
      <c r="E245" s="15">
        <v>32932</v>
      </c>
      <c r="F245" s="15">
        <v>15844</v>
      </c>
      <c r="G245" s="15">
        <v>17088</v>
      </c>
    </row>
    <row r="246" spans="1:7" s="1" customFormat="1" ht="10.5" customHeight="1" x14ac:dyDescent="0.25">
      <c r="A246" s="79" t="s">
        <v>49</v>
      </c>
      <c r="B246" s="15">
        <v>3</v>
      </c>
      <c r="C246" s="15">
        <v>3</v>
      </c>
      <c r="D246" s="15">
        <v>0</v>
      </c>
      <c r="E246" s="15">
        <v>52</v>
      </c>
      <c r="F246" s="15">
        <v>32</v>
      </c>
      <c r="G246" s="15">
        <v>20</v>
      </c>
    </row>
    <row r="247" spans="1:7" s="1" customFormat="1" ht="10.5" customHeight="1" x14ac:dyDescent="0.25">
      <c r="A247" s="79" t="s">
        <v>48</v>
      </c>
      <c r="B247" s="15">
        <v>430</v>
      </c>
      <c r="C247" s="15">
        <v>193</v>
      </c>
      <c r="D247" s="15">
        <v>237</v>
      </c>
      <c r="E247" s="15">
        <v>79</v>
      </c>
      <c r="F247" s="15">
        <v>40</v>
      </c>
      <c r="G247" s="15">
        <v>39</v>
      </c>
    </row>
    <row r="248" spans="1:7" s="1" customFormat="1" ht="10.5" customHeight="1" x14ac:dyDescent="0.25">
      <c r="A248" s="79" t="s">
        <v>47</v>
      </c>
      <c r="B248" s="15">
        <v>5</v>
      </c>
      <c r="C248" s="15">
        <v>3</v>
      </c>
      <c r="D248" s="15">
        <v>2</v>
      </c>
      <c r="E248" s="15">
        <v>6</v>
      </c>
      <c r="F248" s="15">
        <v>3</v>
      </c>
      <c r="G248" s="15">
        <v>3</v>
      </c>
    </row>
    <row r="249" spans="1:7" s="1" customFormat="1" ht="10.5" customHeight="1" x14ac:dyDescent="0.25">
      <c r="A249" s="79" t="s">
        <v>134</v>
      </c>
      <c r="B249" s="15">
        <v>299</v>
      </c>
      <c r="C249" s="15">
        <v>151</v>
      </c>
      <c r="D249" s="15">
        <v>148</v>
      </c>
      <c r="E249" s="15">
        <v>53</v>
      </c>
      <c r="F249" s="15">
        <v>28</v>
      </c>
      <c r="G249" s="15">
        <v>25</v>
      </c>
    </row>
    <row r="250" spans="1:7" s="1" customFormat="1" ht="10.5" customHeight="1" x14ac:dyDescent="0.25">
      <c r="A250" s="79" t="s">
        <v>46</v>
      </c>
      <c r="B250" s="15">
        <v>1</v>
      </c>
      <c r="C250" s="15">
        <v>0</v>
      </c>
      <c r="D250" s="15">
        <v>1</v>
      </c>
      <c r="E250" s="15">
        <v>3</v>
      </c>
      <c r="F250" s="15">
        <v>1</v>
      </c>
      <c r="G250" s="15">
        <v>2</v>
      </c>
    </row>
    <row r="251" spans="1:7" s="1" customFormat="1" ht="10.5" customHeight="1" x14ac:dyDescent="0.25">
      <c r="A251" s="79" t="s">
        <v>45</v>
      </c>
      <c r="B251" s="15">
        <v>4</v>
      </c>
      <c r="C251" s="15">
        <v>3</v>
      </c>
      <c r="D251" s="15">
        <v>1</v>
      </c>
      <c r="E251" s="15">
        <v>1</v>
      </c>
      <c r="F251" s="15">
        <v>0</v>
      </c>
      <c r="G251" s="15">
        <v>1</v>
      </c>
    </row>
    <row r="252" spans="1:7" s="1" customFormat="1" ht="10.5" customHeight="1" x14ac:dyDescent="0.25">
      <c r="A252" s="79" t="s">
        <v>44</v>
      </c>
      <c r="B252" s="15">
        <v>0</v>
      </c>
      <c r="C252" s="15">
        <v>0</v>
      </c>
      <c r="D252" s="15">
        <v>0</v>
      </c>
      <c r="E252" s="15">
        <v>4</v>
      </c>
      <c r="F252" s="15">
        <v>3</v>
      </c>
      <c r="G252" s="15">
        <v>1</v>
      </c>
    </row>
    <row r="253" spans="1:7" s="1" customFormat="1" ht="10.5" customHeight="1" x14ac:dyDescent="0.25">
      <c r="A253" s="79" t="s">
        <v>131</v>
      </c>
      <c r="B253" s="15">
        <v>45</v>
      </c>
      <c r="C253" s="15">
        <v>22</v>
      </c>
      <c r="D253" s="15">
        <v>23</v>
      </c>
      <c r="E253" s="15">
        <v>44</v>
      </c>
      <c r="F253" s="15">
        <v>24</v>
      </c>
      <c r="G253" s="15">
        <v>20</v>
      </c>
    </row>
    <row r="254" spans="1:7" s="1" customFormat="1" ht="10.5" customHeight="1" x14ac:dyDescent="0.25">
      <c r="A254" s="79" t="s">
        <v>43</v>
      </c>
      <c r="B254" s="15">
        <v>1403</v>
      </c>
      <c r="C254" s="15">
        <v>702</v>
      </c>
      <c r="D254" s="15">
        <v>701</v>
      </c>
      <c r="E254" s="15">
        <v>250299</v>
      </c>
      <c r="F254" s="15">
        <v>124601</v>
      </c>
      <c r="G254" s="15">
        <v>125698</v>
      </c>
    </row>
    <row r="255" spans="1:7" s="1" customFormat="1" ht="10.5" customHeight="1" x14ac:dyDescent="0.25">
      <c r="A255" s="79" t="s">
        <v>42</v>
      </c>
      <c r="B255" s="15">
        <v>0</v>
      </c>
      <c r="C255" s="15">
        <v>0</v>
      </c>
      <c r="D255" s="15">
        <v>0</v>
      </c>
      <c r="E255" s="15">
        <v>38</v>
      </c>
      <c r="F255" s="15">
        <v>11</v>
      </c>
      <c r="G255" s="15">
        <v>27</v>
      </c>
    </row>
    <row r="256" spans="1:7" s="1" customFormat="1" ht="10.5" customHeight="1" x14ac:dyDescent="0.25">
      <c r="A256" s="79" t="s">
        <v>41</v>
      </c>
      <c r="B256" s="15">
        <v>0</v>
      </c>
      <c r="C256" s="15">
        <v>0</v>
      </c>
      <c r="D256" s="15">
        <v>0</v>
      </c>
      <c r="E256" s="15">
        <v>136</v>
      </c>
      <c r="F256" s="15">
        <v>82</v>
      </c>
      <c r="G256" s="15">
        <v>54</v>
      </c>
    </row>
    <row r="257" spans="1:7" s="1" customFormat="1" ht="10.5" customHeight="1" x14ac:dyDescent="0.25">
      <c r="A257" s="79" t="s">
        <v>40</v>
      </c>
      <c r="B257" s="15">
        <v>0</v>
      </c>
      <c r="C257" s="15">
        <v>0</v>
      </c>
      <c r="D257" s="15">
        <v>0</v>
      </c>
      <c r="E257" s="15">
        <v>170</v>
      </c>
      <c r="F257" s="15">
        <v>89</v>
      </c>
      <c r="G257" s="15">
        <v>81</v>
      </c>
    </row>
    <row r="258" spans="1:7" s="1" customFormat="1" ht="10.5" customHeight="1" x14ac:dyDescent="0.25">
      <c r="A258" s="79" t="s">
        <v>39</v>
      </c>
      <c r="B258" s="15">
        <v>1</v>
      </c>
      <c r="C258" s="15">
        <v>0</v>
      </c>
      <c r="D258" s="15">
        <v>1</v>
      </c>
      <c r="E258" s="15">
        <v>397</v>
      </c>
      <c r="F258" s="15">
        <v>226</v>
      </c>
      <c r="G258" s="15">
        <v>171</v>
      </c>
    </row>
    <row r="259" spans="1:7" s="1" customFormat="1" ht="10.5" customHeight="1" x14ac:dyDescent="0.25">
      <c r="A259" s="79" t="s">
        <v>38</v>
      </c>
      <c r="B259" s="15">
        <v>1</v>
      </c>
      <c r="C259" s="15">
        <v>1</v>
      </c>
      <c r="D259" s="15">
        <v>0</v>
      </c>
      <c r="E259" s="15">
        <v>14505</v>
      </c>
      <c r="F259" s="15">
        <v>7499</v>
      </c>
      <c r="G259" s="15">
        <v>7006</v>
      </c>
    </row>
    <row r="260" spans="1:7" s="1" customFormat="1" ht="10.5" customHeight="1" x14ac:dyDescent="0.25">
      <c r="A260" s="79"/>
      <c r="B260" s="114"/>
      <c r="C260" s="114"/>
      <c r="D260" s="114"/>
      <c r="E260" s="114"/>
      <c r="F260" s="114"/>
      <c r="G260" s="114"/>
    </row>
    <row r="261" spans="1:7" s="1" customFormat="1" ht="10.5" customHeight="1" x14ac:dyDescent="0.25">
      <c r="A261" s="78" t="s">
        <v>25</v>
      </c>
      <c r="B261" s="61">
        <v>833</v>
      </c>
      <c r="C261" s="61">
        <v>447</v>
      </c>
      <c r="D261" s="61">
        <v>386</v>
      </c>
      <c r="E261" s="61">
        <v>530691</v>
      </c>
      <c r="F261" s="61">
        <v>257973</v>
      </c>
      <c r="G261" s="61">
        <v>272718</v>
      </c>
    </row>
    <row r="262" spans="1:7" s="1" customFormat="1" ht="10.5" customHeight="1" x14ac:dyDescent="0.25">
      <c r="A262" s="79" t="s">
        <v>50</v>
      </c>
      <c r="B262" s="15">
        <v>2</v>
      </c>
      <c r="C262" s="15">
        <v>1</v>
      </c>
      <c r="D262" s="15">
        <v>1</v>
      </c>
      <c r="E262" s="15">
        <v>15383</v>
      </c>
      <c r="F262" s="15">
        <v>7558</v>
      </c>
      <c r="G262" s="15">
        <v>7825</v>
      </c>
    </row>
    <row r="263" spans="1:7" s="1" customFormat="1" ht="10.5" customHeight="1" x14ac:dyDescent="0.25">
      <c r="A263" s="79" t="s">
        <v>49</v>
      </c>
      <c r="B263" s="15">
        <v>0</v>
      </c>
      <c r="C263" s="15">
        <v>0</v>
      </c>
      <c r="D263" s="15">
        <v>0</v>
      </c>
      <c r="E263" s="15">
        <v>274</v>
      </c>
      <c r="F263" s="15">
        <v>155</v>
      </c>
      <c r="G263" s="15">
        <v>119</v>
      </c>
    </row>
    <row r="264" spans="1:7" s="1" customFormat="1" ht="10.5" customHeight="1" x14ac:dyDescent="0.25">
      <c r="A264" s="79" t="s">
        <v>48</v>
      </c>
      <c r="B264" s="15">
        <v>25</v>
      </c>
      <c r="C264" s="15">
        <v>13</v>
      </c>
      <c r="D264" s="15">
        <v>12</v>
      </c>
      <c r="E264" s="15">
        <v>15</v>
      </c>
      <c r="F264" s="15">
        <v>8</v>
      </c>
      <c r="G264" s="15">
        <v>7</v>
      </c>
    </row>
    <row r="265" spans="1:7" s="1" customFormat="1" ht="10.5" customHeight="1" x14ac:dyDescent="0.25">
      <c r="A265" s="79" t="s">
        <v>47</v>
      </c>
      <c r="B265" s="15">
        <v>37</v>
      </c>
      <c r="C265" s="15">
        <v>21</v>
      </c>
      <c r="D265" s="15">
        <v>16</v>
      </c>
      <c r="E265" s="15">
        <v>16</v>
      </c>
      <c r="F265" s="15">
        <v>12</v>
      </c>
      <c r="G265" s="15">
        <v>4</v>
      </c>
    </row>
    <row r="266" spans="1:7" s="1" customFormat="1" ht="10.5" customHeight="1" x14ac:dyDescent="0.25">
      <c r="A266" s="79" t="s">
        <v>134</v>
      </c>
      <c r="B266" s="15">
        <v>378</v>
      </c>
      <c r="C266" s="15">
        <v>217</v>
      </c>
      <c r="D266" s="15">
        <v>161</v>
      </c>
      <c r="E266" s="15">
        <v>89</v>
      </c>
      <c r="F266" s="15">
        <v>61</v>
      </c>
      <c r="G266" s="15">
        <v>28</v>
      </c>
    </row>
    <row r="267" spans="1:7" s="1" customFormat="1" ht="10.5" customHeight="1" x14ac:dyDescent="0.25">
      <c r="A267" s="79" t="s">
        <v>46</v>
      </c>
      <c r="B267" s="15">
        <v>4</v>
      </c>
      <c r="C267" s="15">
        <v>4</v>
      </c>
      <c r="D267" s="15">
        <v>0</v>
      </c>
      <c r="E267" s="15">
        <v>3</v>
      </c>
      <c r="F267" s="15">
        <v>0</v>
      </c>
      <c r="G267" s="15">
        <v>3</v>
      </c>
    </row>
    <row r="268" spans="1:7" s="1" customFormat="1" ht="10.5" customHeight="1" x14ac:dyDescent="0.25">
      <c r="A268" s="79" t="s">
        <v>45</v>
      </c>
      <c r="B268" s="15">
        <v>3</v>
      </c>
      <c r="C268" s="15">
        <v>0</v>
      </c>
      <c r="D268" s="15">
        <v>3</v>
      </c>
      <c r="E268" s="15">
        <v>4</v>
      </c>
      <c r="F268" s="15">
        <v>1</v>
      </c>
      <c r="G268" s="15">
        <v>3</v>
      </c>
    </row>
    <row r="269" spans="1:7" s="1" customFormat="1" ht="10.5" customHeight="1" x14ac:dyDescent="0.25">
      <c r="A269" s="79" t="s">
        <v>44</v>
      </c>
      <c r="B269" s="15">
        <v>1</v>
      </c>
      <c r="C269" s="15">
        <v>1</v>
      </c>
      <c r="D269" s="15">
        <v>0</v>
      </c>
      <c r="E269" s="15">
        <v>6</v>
      </c>
      <c r="F269" s="15">
        <v>5</v>
      </c>
      <c r="G269" s="15">
        <v>1</v>
      </c>
    </row>
    <row r="270" spans="1:7" s="1" customFormat="1" ht="10.5" customHeight="1" x14ac:dyDescent="0.25">
      <c r="A270" s="79" t="s">
        <v>131</v>
      </c>
      <c r="B270" s="15">
        <v>4</v>
      </c>
      <c r="C270" s="15">
        <v>3</v>
      </c>
      <c r="D270" s="15">
        <v>1</v>
      </c>
      <c r="E270" s="15">
        <v>15</v>
      </c>
      <c r="F270" s="15">
        <v>7</v>
      </c>
      <c r="G270" s="15">
        <v>8</v>
      </c>
    </row>
    <row r="271" spans="1:7" s="1" customFormat="1" ht="10.5" customHeight="1" x14ac:dyDescent="0.25">
      <c r="A271" s="79" t="s">
        <v>43</v>
      </c>
      <c r="B271" s="15">
        <v>374</v>
      </c>
      <c r="C271" s="15">
        <v>183</v>
      </c>
      <c r="D271" s="15">
        <v>191</v>
      </c>
      <c r="E271" s="15">
        <v>512040</v>
      </c>
      <c r="F271" s="15">
        <v>248612</v>
      </c>
      <c r="G271" s="15">
        <v>263428</v>
      </c>
    </row>
    <row r="272" spans="1:7" s="1" customFormat="1" ht="10.5" customHeight="1" x14ac:dyDescent="0.25">
      <c r="A272" s="79" t="s">
        <v>42</v>
      </c>
      <c r="B272" s="15">
        <v>3</v>
      </c>
      <c r="C272" s="15">
        <v>2</v>
      </c>
      <c r="D272" s="15">
        <v>1</v>
      </c>
      <c r="E272" s="15">
        <v>122</v>
      </c>
      <c r="F272" s="15">
        <v>68</v>
      </c>
      <c r="G272" s="15">
        <v>54</v>
      </c>
    </row>
    <row r="273" spans="1:7" s="1" customFormat="1" ht="10.5" customHeight="1" x14ac:dyDescent="0.25">
      <c r="A273" s="79" t="s">
        <v>41</v>
      </c>
      <c r="B273" s="15">
        <v>0</v>
      </c>
      <c r="C273" s="15">
        <v>0</v>
      </c>
      <c r="D273" s="15">
        <v>0</v>
      </c>
      <c r="E273" s="15">
        <v>576</v>
      </c>
      <c r="F273" s="15">
        <v>348</v>
      </c>
      <c r="G273" s="15">
        <v>228</v>
      </c>
    </row>
    <row r="274" spans="1:7" s="1" customFormat="1" ht="10.5" customHeight="1" x14ac:dyDescent="0.25">
      <c r="A274" s="79" t="s">
        <v>40</v>
      </c>
      <c r="B274" s="15">
        <v>2</v>
      </c>
      <c r="C274" s="15">
        <v>2</v>
      </c>
      <c r="D274" s="15">
        <v>0</v>
      </c>
      <c r="E274" s="15">
        <v>245</v>
      </c>
      <c r="F274" s="15">
        <v>136</v>
      </c>
      <c r="G274" s="15">
        <v>109</v>
      </c>
    </row>
    <row r="275" spans="1:7" s="1" customFormat="1" ht="10.5" customHeight="1" x14ac:dyDescent="0.25">
      <c r="A275" s="79" t="s">
        <v>39</v>
      </c>
      <c r="B275" s="15">
        <v>0</v>
      </c>
      <c r="C275" s="15">
        <v>0</v>
      </c>
      <c r="D275" s="15">
        <v>0</v>
      </c>
      <c r="E275" s="15">
        <v>495</v>
      </c>
      <c r="F275" s="15">
        <v>283</v>
      </c>
      <c r="G275" s="15">
        <v>212</v>
      </c>
    </row>
    <row r="276" spans="1:7" s="1" customFormat="1" ht="10.5" customHeight="1" x14ac:dyDescent="0.25">
      <c r="A276" s="79" t="s">
        <v>38</v>
      </c>
      <c r="B276" s="15">
        <v>0</v>
      </c>
      <c r="C276" s="15">
        <v>0</v>
      </c>
      <c r="D276" s="15">
        <v>0</v>
      </c>
      <c r="E276" s="15">
        <v>1408</v>
      </c>
      <c r="F276" s="15">
        <v>719</v>
      </c>
      <c r="G276" s="15">
        <v>689</v>
      </c>
    </row>
    <row r="277" spans="1:7" s="1" customFormat="1" ht="10.5" customHeight="1" x14ac:dyDescent="0.25">
      <c r="A277" s="79"/>
      <c r="B277" s="120"/>
      <c r="C277" s="120"/>
      <c r="D277" s="120"/>
      <c r="E277" s="120"/>
      <c r="F277" s="120"/>
      <c r="G277" s="120"/>
    </row>
    <row r="278" spans="1:7" s="1" customFormat="1" ht="10.5" customHeight="1" x14ac:dyDescent="0.25">
      <c r="A278" s="78" t="s">
        <v>24</v>
      </c>
      <c r="B278" s="61">
        <v>35920</v>
      </c>
      <c r="C278" s="61">
        <v>17891</v>
      </c>
      <c r="D278" s="61">
        <v>18029</v>
      </c>
      <c r="E278" s="61">
        <v>582274</v>
      </c>
      <c r="F278" s="61">
        <v>282092</v>
      </c>
      <c r="G278" s="61">
        <v>300182</v>
      </c>
    </row>
    <row r="279" spans="1:7" s="1" customFormat="1" ht="10.5" customHeight="1" x14ac:dyDescent="0.25">
      <c r="A279" s="79" t="s">
        <v>50</v>
      </c>
      <c r="B279" s="15">
        <v>67</v>
      </c>
      <c r="C279" s="15">
        <v>44</v>
      </c>
      <c r="D279" s="15">
        <v>23</v>
      </c>
      <c r="E279" s="15">
        <v>34205</v>
      </c>
      <c r="F279" s="15">
        <v>16776</v>
      </c>
      <c r="G279" s="15">
        <v>17429</v>
      </c>
    </row>
    <row r="280" spans="1:7" s="1" customFormat="1" ht="10.5" customHeight="1" x14ac:dyDescent="0.25">
      <c r="A280" s="79" t="s">
        <v>49</v>
      </c>
      <c r="B280" s="15">
        <v>80</v>
      </c>
      <c r="C280" s="15">
        <v>45</v>
      </c>
      <c r="D280" s="15">
        <v>35</v>
      </c>
      <c r="E280" s="15">
        <v>141</v>
      </c>
      <c r="F280" s="15">
        <v>79</v>
      </c>
      <c r="G280" s="15">
        <v>62</v>
      </c>
    </row>
    <row r="281" spans="1:7" s="1" customFormat="1" ht="10.5" customHeight="1" x14ac:dyDescent="0.25">
      <c r="A281" s="79" t="s">
        <v>48</v>
      </c>
      <c r="B281" s="15">
        <v>25931</v>
      </c>
      <c r="C281" s="15">
        <v>12832</v>
      </c>
      <c r="D281" s="15">
        <v>13099</v>
      </c>
      <c r="E281" s="15">
        <v>1265</v>
      </c>
      <c r="F281" s="15">
        <v>603</v>
      </c>
      <c r="G281" s="15">
        <v>662</v>
      </c>
    </row>
    <row r="282" spans="1:7" s="1" customFormat="1" ht="10.5" customHeight="1" x14ac:dyDescent="0.25">
      <c r="A282" s="79" t="s">
        <v>47</v>
      </c>
      <c r="B282" s="15">
        <v>42</v>
      </c>
      <c r="C282" s="15">
        <v>21</v>
      </c>
      <c r="D282" s="15">
        <v>21</v>
      </c>
      <c r="E282" s="15">
        <v>13</v>
      </c>
      <c r="F282" s="15">
        <v>9</v>
      </c>
      <c r="G282" s="15">
        <v>4</v>
      </c>
    </row>
    <row r="283" spans="1:7" s="1" customFormat="1" ht="10.5" customHeight="1" x14ac:dyDescent="0.25">
      <c r="A283" s="79" t="s">
        <v>134</v>
      </c>
      <c r="B283" s="15">
        <v>128</v>
      </c>
      <c r="C283" s="15">
        <v>64</v>
      </c>
      <c r="D283" s="15">
        <v>64</v>
      </c>
      <c r="E283" s="15">
        <v>31</v>
      </c>
      <c r="F283" s="15">
        <v>12</v>
      </c>
      <c r="G283" s="15">
        <v>19</v>
      </c>
    </row>
    <row r="284" spans="1:7" s="1" customFormat="1" ht="10.5" customHeight="1" x14ac:dyDescent="0.25">
      <c r="A284" s="79" t="s">
        <v>46</v>
      </c>
      <c r="B284" s="15">
        <v>6</v>
      </c>
      <c r="C284" s="15">
        <v>5</v>
      </c>
      <c r="D284" s="15">
        <v>1</v>
      </c>
      <c r="E284" s="15">
        <v>3</v>
      </c>
      <c r="F284" s="15">
        <v>2</v>
      </c>
      <c r="G284" s="15">
        <v>1</v>
      </c>
    </row>
    <row r="285" spans="1:7" s="1" customFormat="1" ht="10.5" customHeight="1" x14ac:dyDescent="0.25">
      <c r="A285" s="79" t="s">
        <v>45</v>
      </c>
      <c r="B285" s="15">
        <v>258</v>
      </c>
      <c r="C285" s="15">
        <v>118</v>
      </c>
      <c r="D285" s="15">
        <v>140</v>
      </c>
      <c r="E285" s="15">
        <v>92</v>
      </c>
      <c r="F285" s="15">
        <v>56</v>
      </c>
      <c r="G285" s="15">
        <v>36</v>
      </c>
    </row>
    <row r="286" spans="1:7" s="1" customFormat="1" ht="10.5" customHeight="1" x14ac:dyDescent="0.25">
      <c r="A286" s="79" t="s">
        <v>44</v>
      </c>
      <c r="B286" s="15">
        <v>0</v>
      </c>
      <c r="C286" s="15">
        <v>0</v>
      </c>
      <c r="D286" s="15">
        <v>0</v>
      </c>
      <c r="E286" s="15">
        <v>0</v>
      </c>
      <c r="F286" s="15">
        <v>0</v>
      </c>
      <c r="G286" s="15">
        <v>0</v>
      </c>
    </row>
    <row r="287" spans="1:7" s="1" customFormat="1" ht="10.5" customHeight="1" x14ac:dyDescent="0.25">
      <c r="A287" s="79" t="s">
        <v>131</v>
      </c>
      <c r="B287" s="15">
        <v>1877</v>
      </c>
      <c r="C287" s="15">
        <v>956</v>
      </c>
      <c r="D287" s="15">
        <v>921</v>
      </c>
      <c r="E287" s="15">
        <v>113</v>
      </c>
      <c r="F287" s="15">
        <v>55</v>
      </c>
      <c r="G287" s="15">
        <v>58</v>
      </c>
    </row>
    <row r="288" spans="1:7" s="1" customFormat="1" ht="10.5" customHeight="1" x14ac:dyDescent="0.25">
      <c r="A288" s="79" t="s">
        <v>43</v>
      </c>
      <c r="B288" s="15">
        <v>7509</v>
      </c>
      <c r="C288" s="15">
        <v>3793</v>
      </c>
      <c r="D288" s="15">
        <v>3716</v>
      </c>
      <c r="E288" s="15">
        <v>531967</v>
      </c>
      <c r="F288" s="15">
        <v>256713</v>
      </c>
      <c r="G288" s="15">
        <v>275254</v>
      </c>
    </row>
    <row r="289" spans="1:7" s="1" customFormat="1" ht="10.5" customHeight="1" x14ac:dyDescent="0.25">
      <c r="A289" s="79" t="s">
        <v>42</v>
      </c>
      <c r="B289" s="15">
        <v>0</v>
      </c>
      <c r="C289" s="15">
        <v>0</v>
      </c>
      <c r="D289" s="15">
        <v>0</v>
      </c>
      <c r="E289" s="15">
        <v>48</v>
      </c>
      <c r="F289" s="15">
        <v>19</v>
      </c>
      <c r="G289" s="15">
        <v>29</v>
      </c>
    </row>
    <row r="290" spans="1:7" s="1" customFormat="1" ht="10.5" customHeight="1" x14ac:dyDescent="0.25">
      <c r="A290" s="79" t="s">
        <v>41</v>
      </c>
      <c r="B290" s="15">
        <v>2</v>
      </c>
      <c r="C290" s="15">
        <v>1</v>
      </c>
      <c r="D290" s="15">
        <v>1</v>
      </c>
      <c r="E290" s="15">
        <v>311</v>
      </c>
      <c r="F290" s="15">
        <v>187</v>
      </c>
      <c r="G290" s="15">
        <v>124</v>
      </c>
    </row>
    <row r="291" spans="1:7" s="1" customFormat="1" ht="10.5" customHeight="1" x14ac:dyDescent="0.25">
      <c r="A291" s="79" t="s">
        <v>40</v>
      </c>
      <c r="B291" s="15">
        <v>4</v>
      </c>
      <c r="C291" s="15">
        <v>3</v>
      </c>
      <c r="D291" s="15">
        <v>1</v>
      </c>
      <c r="E291" s="15">
        <v>264</v>
      </c>
      <c r="F291" s="15">
        <v>147</v>
      </c>
      <c r="G291" s="15">
        <v>117</v>
      </c>
    </row>
    <row r="292" spans="1:7" s="1" customFormat="1" ht="10.5" customHeight="1" x14ac:dyDescent="0.25">
      <c r="A292" s="79" t="s">
        <v>39</v>
      </c>
      <c r="B292" s="15">
        <v>16</v>
      </c>
      <c r="C292" s="15">
        <v>9</v>
      </c>
      <c r="D292" s="15">
        <v>7</v>
      </c>
      <c r="E292" s="15">
        <v>552</v>
      </c>
      <c r="F292" s="15">
        <v>298</v>
      </c>
      <c r="G292" s="15">
        <v>254</v>
      </c>
    </row>
    <row r="293" spans="1:7" s="1" customFormat="1" ht="10.5" customHeight="1" x14ac:dyDescent="0.25">
      <c r="A293" s="79" t="s">
        <v>38</v>
      </c>
      <c r="B293" s="15">
        <v>0</v>
      </c>
      <c r="C293" s="15">
        <v>0</v>
      </c>
      <c r="D293" s="15">
        <v>0</v>
      </c>
      <c r="E293" s="15">
        <v>13269</v>
      </c>
      <c r="F293" s="15">
        <v>7136</v>
      </c>
      <c r="G293" s="15">
        <v>6133</v>
      </c>
    </row>
    <row r="294" spans="1:7" s="1" customFormat="1" ht="10.5" customHeight="1" thickBot="1" x14ac:dyDescent="0.3">
      <c r="A294" s="117"/>
      <c r="B294" s="118"/>
      <c r="C294" s="118"/>
      <c r="D294" s="118"/>
      <c r="E294" s="118"/>
      <c r="F294" s="118"/>
      <c r="G294" s="118"/>
    </row>
    <row r="295" spans="1:7" s="1" customFormat="1" ht="10.5" customHeight="1" x14ac:dyDescent="0.25">
      <c r="A295" s="50"/>
      <c r="B295" s="12"/>
      <c r="C295" s="11"/>
      <c r="D295" s="11"/>
      <c r="E295" s="12"/>
      <c r="F295" s="11"/>
      <c r="G295" s="119" t="s">
        <v>18</v>
      </c>
    </row>
    <row r="296" spans="1:7" ht="12.75" customHeight="1" x14ac:dyDescent="0.2">
      <c r="A296" s="205" t="str">
        <f>A$1</f>
        <v>CUADRO Nº 2.3</v>
      </c>
      <c r="B296" s="205"/>
      <c r="C296" s="205"/>
      <c r="D296" s="205"/>
      <c r="E296" s="205"/>
      <c r="F296" s="205"/>
      <c r="G296" s="205"/>
    </row>
    <row r="297" spans="1:7" ht="20.25" customHeight="1" x14ac:dyDescent="0.2">
      <c r="A297" s="219" t="str">
        <f>A$2</f>
        <v>PERÚ: POBLACIÓN CENSADA INDÍGENA U ORIGINARIA DE LA AMAZONÍA, BLANCA(O), MESTIZA(O) Y OTRA(O) DE 12 Y MÁS AÑOS DE EDAD, POR SEXO, SEGÚN LENGUA O IDIOMA MATERNA APRENDIDA EN LA NIÑEZ, ÁREA DE RESIDENCIA Y DEPARTAMENTO, 2017</v>
      </c>
      <c r="B297" s="219"/>
      <c r="C297" s="219"/>
      <c r="D297" s="219"/>
      <c r="E297" s="219"/>
      <c r="F297" s="219"/>
      <c r="G297" s="219"/>
    </row>
    <row r="298" spans="1:7" customFormat="1" ht="12.75" customHeight="1" x14ac:dyDescent="0.2">
      <c r="A298" s="207" t="str">
        <f>A$3</f>
        <v>(Cifras absolutas)</v>
      </c>
      <c r="B298" s="207"/>
      <c r="C298" s="207"/>
      <c r="D298" s="207"/>
      <c r="E298" s="207"/>
      <c r="F298" s="207"/>
      <c r="G298" s="207"/>
    </row>
    <row r="299" spans="1:7" ht="10.5" customHeight="1" thickBot="1" x14ac:dyDescent="0.25">
      <c r="A299" s="48"/>
      <c r="B299" s="48"/>
      <c r="C299" s="48"/>
      <c r="D299" s="48"/>
      <c r="E299" s="48"/>
      <c r="F299" s="48"/>
      <c r="G299" s="48"/>
    </row>
    <row r="300" spans="1:7" ht="12.75" customHeight="1" thickBot="1" x14ac:dyDescent="0.25">
      <c r="A300" s="220" t="str">
        <f>A$5</f>
        <v>Lengua o idioma materna aprendida en la niñez / Área de residencia y departamento</v>
      </c>
      <c r="B300" s="210" t="str">
        <f>B$5</f>
        <v>Indígena u originaria de la Amazonía</v>
      </c>
      <c r="C300" s="211"/>
      <c r="D300" s="212"/>
      <c r="E300" s="210" t="s">
        <v>116</v>
      </c>
      <c r="F300" s="211"/>
      <c r="G300" s="212"/>
    </row>
    <row r="301" spans="1:7" ht="12.75" customHeight="1" thickBot="1" x14ac:dyDescent="0.25">
      <c r="A301" s="220"/>
      <c r="B301" s="53" t="str">
        <f t="shared" ref="B301:G301" si="4">B$6</f>
        <v>Total</v>
      </c>
      <c r="C301" s="54" t="str">
        <f t="shared" si="4"/>
        <v>Hombre</v>
      </c>
      <c r="D301" s="110" t="str">
        <f t="shared" si="4"/>
        <v>Mujer</v>
      </c>
      <c r="E301" s="54" t="str">
        <f t="shared" si="4"/>
        <v>Total</v>
      </c>
      <c r="F301" s="54" t="str">
        <f t="shared" si="4"/>
        <v>Hombre</v>
      </c>
      <c r="G301" s="110" t="str">
        <f t="shared" si="4"/>
        <v>Mujer</v>
      </c>
    </row>
    <row r="302" spans="1:7" ht="3.75" customHeight="1" x14ac:dyDescent="0.2">
      <c r="A302" s="77"/>
      <c r="B302" s="14"/>
      <c r="C302" s="14"/>
      <c r="D302" s="46"/>
      <c r="E302" s="46"/>
      <c r="F302" s="46"/>
      <c r="G302" s="46"/>
    </row>
    <row r="303" spans="1:7" s="1" customFormat="1" ht="10.5" customHeight="1" x14ac:dyDescent="0.25">
      <c r="A303" s="78" t="s">
        <v>23</v>
      </c>
      <c r="B303" s="61">
        <v>806</v>
      </c>
      <c r="C303" s="61">
        <v>423</v>
      </c>
      <c r="D303" s="61">
        <v>383</v>
      </c>
      <c r="E303" s="61">
        <v>1233787</v>
      </c>
      <c r="F303" s="61">
        <v>588946</v>
      </c>
      <c r="G303" s="61">
        <v>644841</v>
      </c>
    </row>
    <row r="304" spans="1:7" s="1" customFormat="1" ht="10.5" customHeight="1" x14ac:dyDescent="0.25">
      <c r="A304" s="79" t="s">
        <v>50</v>
      </c>
      <c r="B304" s="15">
        <v>2</v>
      </c>
      <c r="C304" s="15">
        <v>2</v>
      </c>
      <c r="D304" s="15">
        <v>0</v>
      </c>
      <c r="E304" s="15">
        <v>1790</v>
      </c>
      <c r="F304" s="15">
        <v>964</v>
      </c>
      <c r="G304" s="15">
        <v>826</v>
      </c>
    </row>
    <row r="305" spans="1:7" s="1" customFormat="1" ht="10.5" customHeight="1" x14ac:dyDescent="0.25">
      <c r="A305" s="79" t="s">
        <v>49</v>
      </c>
      <c r="B305" s="15">
        <v>3</v>
      </c>
      <c r="C305" s="15">
        <v>2</v>
      </c>
      <c r="D305" s="15">
        <v>1</v>
      </c>
      <c r="E305" s="15">
        <v>80</v>
      </c>
      <c r="F305" s="15">
        <v>43</v>
      </c>
      <c r="G305" s="15">
        <v>37</v>
      </c>
    </row>
    <row r="306" spans="1:7" s="1" customFormat="1" ht="10.5" customHeight="1" x14ac:dyDescent="0.25">
      <c r="A306" s="79" t="s">
        <v>48</v>
      </c>
      <c r="B306" s="15">
        <v>6</v>
      </c>
      <c r="C306" s="15">
        <v>4</v>
      </c>
      <c r="D306" s="15">
        <v>2</v>
      </c>
      <c r="E306" s="15">
        <v>7</v>
      </c>
      <c r="F306" s="15">
        <v>5</v>
      </c>
      <c r="G306" s="15">
        <v>2</v>
      </c>
    </row>
    <row r="307" spans="1:7" s="1" customFormat="1" ht="10.5" customHeight="1" x14ac:dyDescent="0.25">
      <c r="A307" s="79" t="s">
        <v>47</v>
      </c>
      <c r="B307" s="15">
        <v>115</v>
      </c>
      <c r="C307" s="15">
        <v>65</v>
      </c>
      <c r="D307" s="15">
        <v>50</v>
      </c>
      <c r="E307" s="15">
        <v>46</v>
      </c>
      <c r="F307" s="15">
        <v>23</v>
      </c>
      <c r="G307" s="15">
        <v>23</v>
      </c>
    </row>
    <row r="308" spans="1:7" s="1" customFormat="1" ht="10.5" customHeight="1" x14ac:dyDescent="0.25">
      <c r="A308" s="79" t="s">
        <v>134</v>
      </c>
      <c r="B308" s="15">
        <v>21</v>
      </c>
      <c r="C308" s="15">
        <v>16</v>
      </c>
      <c r="D308" s="15">
        <v>5</v>
      </c>
      <c r="E308" s="15">
        <v>20</v>
      </c>
      <c r="F308" s="15">
        <v>11</v>
      </c>
      <c r="G308" s="15">
        <v>9</v>
      </c>
    </row>
    <row r="309" spans="1:7" s="1" customFormat="1" ht="10.5" customHeight="1" x14ac:dyDescent="0.25">
      <c r="A309" s="79" t="s">
        <v>46</v>
      </c>
      <c r="B309" s="15">
        <v>1</v>
      </c>
      <c r="C309" s="15">
        <v>1</v>
      </c>
      <c r="D309" s="15">
        <v>0</v>
      </c>
      <c r="E309" s="15">
        <v>7</v>
      </c>
      <c r="F309" s="15">
        <v>6</v>
      </c>
      <c r="G309" s="15">
        <v>1</v>
      </c>
    </row>
    <row r="310" spans="1:7" s="1" customFormat="1" ht="10.5" customHeight="1" x14ac:dyDescent="0.25">
      <c r="A310" s="79" t="s">
        <v>45</v>
      </c>
      <c r="B310" s="15">
        <v>0</v>
      </c>
      <c r="C310" s="15">
        <v>0</v>
      </c>
      <c r="D310" s="15">
        <v>0</v>
      </c>
      <c r="E310" s="15">
        <v>4</v>
      </c>
      <c r="F310" s="15">
        <v>2</v>
      </c>
      <c r="G310" s="15">
        <v>2</v>
      </c>
    </row>
    <row r="311" spans="1:7" s="1" customFormat="1" ht="10.5" customHeight="1" x14ac:dyDescent="0.25">
      <c r="A311" s="79" t="s">
        <v>44</v>
      </c>
      <c r="B311" s="15">
        <v>1</v>
      </c>
      <c r="C311" s="15">
        <v>1</v>
      </c>
      <c r="D311" s="15">
        <v>0</v>
      </c>
      <c r="E311" s="15">
        <v>15</v>
      </c>
      <c r="F311" s="15">
        <v>10</v>
      </c>
      <c r="G311" s="15">
        <v>5</v>
      </c>
    </row>
    <row r="312" spans="1:7" s="1" customFormat="1" ht="10.5" customHeight="1" x14ac:dyDescent="0.25">
      <c r="A312" s="79" t="s">
        <v>131</v>
      </c>
      <c r="B312" s="15">
        <v>12</v>
      </c>
      <c r="C312" s="15">
        <v>7</v>
      </c>
      <c r="D312" s="15">
        <v>5</v>
      </c>
      <c r="E312" s="15">
        <v>10</v>
      </c>
      <c r="F312" s="15">
        <v>8</v>
      </c>
      <c r="G312" s="15">
        <v>2</v>
      </c>
    </row>
    <row r="313" spans="1:7" s="1" customFormat="1" ht="10.5" customHeight="1" x14ac:dyDescent="0.25">
      <c r="A313" s="79" t="s">
        <v>43</v>
      </c>
      <c r="B313" s="15">
        <v>644</v>
      </c>
      <c r="C313" s="15">
        <v>325</v>
      </c>
      <c r="D313" s="15">
        <v>319</v>
      </c>
      <c r="E313" s="15">
        <v>1224805</v>
      </c>
      <c r="F313" s="15">
        <v>584126</v>
      </c>
      <c r="G313" s="15">
        <v>640679</v>
      </c>
    </row>
    <row r="314" spans="1:7" s="1" customFormat="1" ht="10.5" customHeight="1" x14ac:dyDescent="0.25">
      <c r="A314" s="79" t="s">
        <v>42</v>
      </c>
      <c r="B314" s="15">
        <v>1</v>
      </c>
      <c r="C314" s="15">
        <v>0</v>
      </c>
      <c r="D314" s="15">
        <v>1</v>
      </c>
      <c r="E314" s="15">
        <v>198</v>
      </c>
      <c r="F314" s="15">
        <v>81</v>
      </c>
      <c r="G314" s="15">
        <v>117</v>
      </c>
    </row>
    <row r="315" spans="1:7" s="1" customFormat="1" ht="10.5" customHeight="1" x14ac:dyDescent="0.25">
      <c r="A315" s="79" t="s">
        <v>41</v>
      </c>
      <c r="B315" s="15">
        <v>0</v>
      </c>
      <c r="C315" s="15">
        <v>0</v>
      </c>
      <c r="D315" s="15">
        <v>0</v>
      </c>
      <c r="E315" s="15">
        <v>1167</v>
      </c>
      <c r="F315" s="15">
        <v>630</v>
      </c>
      <c r="G315" s="15">
        <v>537</v>
      </c>
    </row>
    <row r="316" spans="1:7" s="1" customFormat="1" ht="10.5" customHeight="1" x14ac:dyDescent="0.25">
      <c r="A316" s="79" t="s">
        <v>40</v>
      </c>
      <c r="B316" s="15">
        <v>0</v>
      </c>
      <c r="C316" s="15">
        <v>0</v>
      </c>
      <c r="D316" s="15">
        <v>0</v>
      </c>
      <c r="E316" s="15">
        <v>527</v>
      </c>
      <c r="F316" s="15">
        <v>301</v>
      </c>
      <c r="G316" s="15">
        <v>226</v>
      </c>
    </row>
    <row r="317" spans="1:7" s="1" customFormat="1" ht="10.5" customHeight="1" x14ac:dyDescent="0.25">
      <c r="A317" s="79" t="s">
        <v>39</v>
      </c>
      <c r="B317" s="15">
        <v>0</v>
      </c>
      <c r="C317" s="15">
        <v>0</v>
      </c>
      <c r="D317" s="15">
        <v>0</v>
      </c>
      <c r="E317" s="15">
        <v>1202</v>
      </c>
      <c r="F317" s="15">
        <v>623</v>
      </c>
      <c r="G317" s="15">
        <v>579</v>
      </c>
    </row>
    <row r="318" spans="1:7" s="1" customFormat="1" ht="10.5" customHeight="1" x14ac:dyDescent="0.25">
      <c r="A318" s="79" t="s">
        <v>38</v>
      </c>
      <c r="B318" s="15">
        <v>0</v>
      </c>
      <c r="C318" s="15">
        <v>0</v>
      </c>
      <c r="D318" s="15">
        <v>0</v>
      </c>
      <c r="E318" s="15">
        <v>3909</v>
      </c>
      <c r="F318" s="15">
        <v>2113</v>
      </c>
      <c r="G318" s="15">
        <v>1796</v>
      </c>
    </row>
    <row r="319" spans="1:7" s="1" customFormat="1" ht="10.5" customHeight="1" x14ac:dyDescent="0.25">
      <c r="A319" s="79"/>
      <c r="B319" s="114"/>
      <c r="C319" s="114"/>
      <c r="D319" s="114"/>
      <c r="E319" s="114"/>
      <c r="F319" s="114"/>
      <c r="G319" s="114"/>
    </row>
    <row r="320" spans="1:7" s="1" customFormat="1" ht="10.5" customHeight="1" x14ac:dyDescent="0.25">
      <c r="A320" s="78" t="s">
        <v>22</v>
      </c>
      <c r="B320" s="61">
        <v>700</v>
      </c>
      <c r="C320" s="61">
        <v>313</v>
      </c>
      <c r="D320" s="61">
        <v>387</v>
      </c>
      <c r="E320" s="61">
        <v>815454</v>
      </c>
      <c r="F320" s="61">
        <v>384763</v>
      </c>
      <c r="G320" s="61">
        <v>430691</v>
      </c>
    </row>
    <row r="321" spans="1:7" s="1" customFormat="1" ht="10.5" customHeight="1" x14ac:dyDescent="0.25">
      <c r="A321" s="79" t="s">
        <v>50</v>
      </c>
      <c r="B321" s="15">
        <v>2</v>
      </c>
      <c r="C321" s="15">
        <v>1</v>
      </c>
      <c r="D321" s="15">
        <v>1</v>
      </c>
      <c r="E321" s="15">
        <v>3562</v>
      </c>
      <c r="F321" s="15">
        <v>1726</v>
      </c>
      <c r="G321" s="15">
        <v>1836</v>
      </c>
    </row>
    <row r="322" spans="1:7" s="1" customFormat="1" ht="10.5" customHeight="1" x14ac:dyDescent="0.25">
      <c r="A322" s="79" t="s">
        <v>49</v>
      </c>
      <c r="B322" s="15">
        <v>1</v>
      </c>
      <c r="C322" s="15">
        <v>0</v>
      </c>
      <c r="D322" s="15">
        <v>1</v>
      </c>
      <c r="E322" s="15">
        <v>49</v>
      </c>
      <c r="F322" s="15">
        <v>24</v>
      </c>
      <c r="G322" s="15">
        <v>25</v>
      </c>
    </row>
    <row r="323" spans="1:7" s="1" customFormat="1" ht="10.5" customHeight="1" x14ac:dyDescent="0.25">
      <c r="A323" s="79" t="s">
        <v>48</v>
      </c>
      <c r="B323" s="15">
        <v>6</v>
      </c>
      <c r="C323" s="15">
        <v>4</v>
      </c>
      <c r="D323" s="15">
        <v>2</v>
      </c>
      <c r="E323" s="15">
        <v>4</v>
      </c>
      <c r="F323" s="15">
        <v>2</v>
      </c>
      <c r="G323" s="15">
        <v>2</v>
      </c>
    </row>
    <row r="324" spans="1:7" s="1" customFormat="1" ht="10.5" customHeight="1" x14ac:dyDescent="0.25">
      <c r="A324" s="79" t="s">
        <v>47</v>
      </c>
      <c r="B324" s="15">
        <v>204</v>
      </c>
      <c r="C324" s="15">
        <v>98</v>
      </c>
      <c r="D324" s="15">
        <v>106</v>
      </c>
      <c r="E324" s="15">
        <v>66</v>
      </c>
      <c r="F324" s="15">
        <v>37</v>
      </c>
      <c r="G324" s="15">
        <v>29</v>
      </c>
    </row>
    <row r="325" spans="1:7" s="1" customFormat="1" ht="10.5" customHeight="1" x14ac:dyDescent="0.25">
      <c r="A325" s="79" t="s">
        <v>134</v>
      </c>
      <c r="B325" s="15">
        <v>5</v>
      </c>
      <c r="C325" s="15">
        <v>2</v>
      </c>
      <c r="D325" s="15">
        <v>3</v>
      </c>
      <c r="E325" s="15">
        <v>10</v>
      </c>
      <c r="F325" s="15">
        <v>4</v>
      </c>
      <c r="G325" s="15">
        <v>6</v>
      </c>
    </row>
    <row r="326" spans="1:7" s="1" customFormat="1" ht="10.5" customHeight="1" x14ac:dyDescent="0.25">
      <c r="A326" s="79" t="s">
        <v>46</v>
      </c>
      <c r="B326" s="15">
        <v>3</v>
      </c>
      <c r="C326" s="15">
        <v>0</v>
      </c>
      <c r="D326" s="15">
        <v>3</v>
      </c>
      <c r="E326" s="15">
        <v>5</v>
      </c>
      <c r="F326" s="15">
        <v>3</v>
      </c>
      <c r="G326" s="15">
        <v>2</v>
      </c>
    </row>
    <row r="327" spans="1:7" s="1" customFormat="1" ht="10.5" customHeight="1" x14ac:dyDescent="0.25">
      <c r="A327" s="79" t="s">
        <v>45</v>
      </c>
      <c r="B327" s="15">
        <v>0</v>
      </c>
      <c r="C327" s="15">
        <v>0</v>
      </c>
      <c r="D327" s="15">
        <v>0</v>
      </c>
      <c r="E327" s="15">
        <v>7</v>
      </c>
      <c r="F327" s="15">
        <v>4</v>
      </c>
      <c r="G327" s="15">
        <v>3</v>
      </c>
    </row>
    <row r="328" spans="1:7" s="1" customFormat="1" ht="10.5" customHeight="1" x14ac:dyDescent="0.25">
      <c r="A328" s="79" t="s">
        <v>44</v>
      </c>
      <c r="B328" s="15">
        <v>2</v>
      </c>
      <c r="C328" s="15">
        <v>0</v>
      </c>
      <c r="D328" s="15">
        <v>2</v>
      </c>
      <c r="E328" s="15">
        <v>6</v>
      </c>
      <c r="F328" s="15">
        <v>3</v>
      </c>
      <c r="G328" s="15">
        <v>3</v>
      </c>
    </row>
    <row r="329" spans="1:7" s="1" customFormat="1" ht="10.5" customHeight="1" x14ac:dyDescent="0.25">
      <c r="A329" s="79" t="s">
        <v>131</v>
      </c>
      <c r="B329" s="15">
        <v>17</v>
      </c>
      <c r="C329" s="15">
        <v>5</v>
      </c>
      <c r="D329" s="15">
        <v>12</v>
      </c>
      <c r="E329" s="15">
        <v>8</v>
      </c>
      <c r="F329" s="15">
        <v>3</v>
      </c>
      <c r="G329" s="15">
        <v>5</v>
      </c>
    </row>
    <row r="330" spans="1:7" s="1" customFormat="1" ht="10.5" customHeight="1" x14ac:dyDescent="0.25">
      <c r="A330" s="79" t="s">
        <v>43</v>
      </c>
      <c r="B330" s="15">
        <v>458</v>
      </c>
      <c r="C330" s="15">
        <v>201</v>
      </c>
      <c r="D330" s="15">
        <v>257</v>
      </c>
      <c r="E330" s="15">
        <v>808519</v>
      </c>
      <c r="F330" s="15">
        <v>381279</v>
      </c>
      <c r="G330" s="15">
        <v>427240</v>
      </c>
    </row>
    <row r="331" spans="1:7" s="1" customFormat="1" ht="10.5" customHeight="1" x14ac:dyDescent="0.25">
      <c r="A331" s="79" t="s">
        <v>42</v>
      </c>
      <c r="B331" s="15">
        <v>0</v>
      </c>
      <c r="C331" s="15">
        <v>0</v>
      </c>
      <c r="D331" s="15">
        <v>0</v>
      </c>
      <c r="E331" s="15">
        <v>103</v>
      </c>
      <c r="F331" s="15">
        <v>39</v>
      </c>
      <c r="G331" s="15">
        <v>64</v>
      </c>
    </row>
    <row r="332" spans="1:7" s="1" customFormat="1" ht="10.5" customHeight="1" x14ac:dyDescent="0.25">
      <c r="A332" s="79" t="s">
        <v>41</v>
      </c>
      <c r="B332" s="15">
        <v>1</v>
      </c>
      <c r="C332" s="15">
        <v>1</v>
      </c>
      <c r="D332" s="15">
        <v>0</v>
      </c>
      <c r="E332" s="15">
        <v>540</v>
      </c>
      <c r="F332" s="15">
        <v>315</v>
      </c>
      <c r="G332" s="15">
        <v>225</v>
      </c>
    </row>
    <row r="333" spans="1:7" s="1" customFormat="1" ht="10.5" customHeight="1" x14ac:dyDescent="0.25">
      <c r="A333" s="79" t="s">
        <v>40</v>
      </c>
      <c r="B333" s="15">
        <v>0</v>
      </c>
      <c r="C333" s="15">
        <v>0</v>
      </c>
      <c r="D333" s="15">
        <v>0</v>
      </c>
      <c r="E333" s="15">
        <v>415</v>
      </c>
      <c r="F333" s="15">
        <v>250</v>
      </c>
      <c r="G333" s="15">
        <v>165</v>
      </c>
    </row>
    <row r="334" spans="1:7" s="1" customFormat="1" ht="10.5" customHeight="1" x14ac:dyDescent="0.25">
      <c r="A334" s="79" t="s">
        <v>39</v>
      </c>
      <c r="B334" s="15">
        <v>0</v>
      </c>
      <c r="C334" s="15">
        <v>0</v>
      </c>
      <c r="D334" s="15">
        <v>0</v>
      </c>
      <c r="E334" s="15">
        <v>901</v>
      </c>
      <c r="F334" s="15">
        <v>435</v>
      </c>
      <c r="G334" s="15">
        <v>466</v>
      </c>
    </row>
    <row r="335" spans="1:7" s="1" customFormat="1" ht="10.5" customHeight="1" x14ac:dyDescent="0.25">
      <c r="A335" s="79" t="s">
        <v>38</v>
      </c>
      <c r="B335" s="15">
        <v>1</v>
      </c>
      <c r="C335" s="15">
        <v>1</v>
      </c>
      <c r="D335" s="15">
        <v>0</v>
      </c>
      <c r="E335" s="15">
        <v>1259</v>
      </c>
      <c r="F335" s="15">
        <v>639</v>
      </c>
      <c r="G335" s="15">
        <v>620</v>
      </c>
    </row>
    <row r="336" spans="1:7" s="1" customFormat="1" ht="10.5" customHeight="1" x14ac:dyDescent="0.25">
      <c r="A336" s="79"/>
      <c r="B336" s="114"/>
      <c r="C336" s="114"/>
      <c r="D336" s="114"/>
      <c r="E336" s="114"/>
      <c r="F336" s="114"/>
      <c r="G336" s="114"/>
    </row>
    <row r="337" spans="1:7" s="1" customFormat="1" ht="10.5" customHeight="1" x14ac:dyDescent="0.25">
      <c r="A337" s="78" t="s">
        <v>21</v>
      </c>
      <c r="B337" s="61">
        <v>15505</v>
      </c>
      <c r="C337" s="61">
        <v>7333</v>
      </c>
      <c r="D337" s="61">
        <v>8172</v>
      </c>
      <c r="E337" s="61">
        <v>6215088</v>
      </c>
      <c r="F337" s="61">
        <v>2986258</v>
      </c>
      <c r="G337" s="61">
        <v>3228830</v>
      </c>
    </row>
    <row r="338" spans="1:7" s="1" customFormat="1" ht="10.5" customHeight="1" x14ac:dyDescent="0.25">
      <c r="A338" s="79" t="s">
        <v>50</v>
      </c>
      <c r="B338" s="15">
        <v>185</v>
      </c>
      <c r="C338" s="15">
        <v>104</v>
      </c>
      <c r="D338" s="15">
        <v>81</v>
      </c>
      <c r="E338" s="15">
        <v>223987</v>
      </c>
      <c r="F338" s="15">
        <v>106952</v>
      </c>
      <c r="G338" s="15">
        <v>117035</v>
      </c>
    </row>
    <row r="339" spans="1:7" s="1" customFormat="1" ht="10.5" customHeight="1" x14ac:dyDescent="0.25">
      <c r="A339" s="79" t="s">
        <v>49</v>
      </c>
      <c r="B339" s="15">
        <v>16</v>
      </c>
      <c r="C339" s="15">
        <v>6</v>
      </c>
      <c r="D339" s="15">
        <v>10</v>
      </c>
      <c r="E339" s="15">
        <v>5937</v>
      </c>
      <c r="F339" s="15">
        <v>2950</v>
      </c>
      <c r="G339" s="15">
        <v>2987</v>
      </c>
    </row>
    <row r="340" spans="1:7" s="1" customFormat="1" ht="10.5" customHeight="1" x14ac:dyDescent="0.25">
      <c r="A340" s="79" t="s">
        <v>48</v>
      </c>
      <c r="B340" s="15">
        <v>624</v>
      </c>
      <c r="C340" s="15">
        <v>261</v>
      </c>
      <c r="D340" s="15">
        <v>363</v>
      </c>
      <c r="E340" s="15">
        <v>379</v>
      </c>
      <c r="F340" s="15">
        <v>158</v>
      </c>
      <c r="G340" s="15">
        <v>221</v>
      </c>
    </row>
    <row r="341" spans="1:7" s="1" customFormat="1" ht="10.5" customHeight="1" x14ac:dyDescent="0.25">
      <c r="A341" s="79" t="s">
        <v>47</v>
      </c>
      <c r="B341" s="15">
        <v>581</v>
      </c>
      <c r="C341" s="15">
        <v>342</v>
      </c>
      <c r="D341" s="15">
        <v>239</v>
      </c>
      <c r="E341" s="15">
        <v>270</v>
      </c>
      <c r="F341" s="15">
        <v>141</v>
      </c>
      <c r="G341" s="15">
        <v>129</v>
      </c>
    </row>
    <row r="342" spans="1:7" s="1" customFormat="1" ht="10.5" customHeight="1" x14ac:dyDescent="0.25">
      <c r="A342" s="79" t="s">
        <v>134</v>
      </c>
      <c r="B342" s="15">
        <v>1071</v>
      </c>
      <c r="C342" s="15">
        <v>502</v>
      </c>
      <c r="D342" s="15">
        <v>569</v>
      </c>
      <c r="E342" s="15">
        <v>371</v>
      </c>
      <c r="F342" s="15">
        <v>188</v>
      </c>
      <c r="G342" s="15">
        <v>183</v>
      </c>
    </row>
    <row r="343" spans="1:7" s="1" customFormat="1" ht="10.5" customHeight="1" x14ac:dyDescent="0.25">
      <c r="A343" s="79" t="s">
        <v>46</v>
      </c>
      <c r="B343" s="15">
        <v>57</v>
      </c>
      <c r="C343" s="15">
        <v>29</v>
      </c>
      <c r="D343" s="15">
        <v>28</v>
      </c>
      <c r="E343" s="15">
        <v>67</v>
      </c>
      <c r="F343" s="15">
        <v>29</v>
      </c>
      <c r="G343" s="15">
        <v>38</v>
      </c>
    </row>
    <row r="344" spans="1:7" s="1" customFormat="1" ht="10.5" customHeight="1" x14ac:dyDescent="0.25">
      <c r="A344" s="79" t="s">
        <v>45</v>
      </c>
      <c r="B344" s="15">
        <v>81</v>
      </c>
      <c r="C344" s="15">
        <v>34</v>
      </c>
      <c r="D344" s="15">
        <v>47</v>
      </c>
      <c r="E344" s="15">
        <v>87</v>
      </c>
      <c r="F344" s="15">
        <v>47</v>
      </c>
      <c r="G344" s="15">
        <v>40</v>
      </c>
    </row>
    <row r="345" spans="1:7" s="1" customFormat="1" ht="10.5" customHeight="1" x14ac:dyDescent="0.25">
      <c r="A345" s="79" t="s">
        <v>44</v>
      </c>
      <c r="B345" s="15">
        <v>32</v>
      </c>
      <c r="C345" s="15">
        <v>17</v>
      </c>
      <c r="D345" s="15">
        <v>15</v>
      </c>
      <c r="E345" s="15">
        <v>86</v>
      </c>
      <c r="F345" s="15">
        <v>50</v>
      </c>
      <c r="G345" s="15">
        <v>36</v>
      </c>
    </row>
    <row r="346" spans="1:7" s="1" customFormat="1" ht="10.5" customHeight="1" x14ac:dyDescent="0.25">
      <c r="A346" s="79" t="s">
        <v>131</v>
      </c>
      <c r="B346" s="15">
        <v>287</v>
      </c>
      <c r="C346" s="15">
        <v>150</v>
      </c>
      <c r="D346" s="15">
        <v>137</v>
      </c>
      <c r="E346" s="15">
        <v>617</v>
      </c>
      <c r="F346" s="15">
        <v>339</v>
      </c>
      <c r="G346" s="15">
        <v>278</v>
      </c>
    </row>
    <row r="347" spans="1:7" s="1" customFormat="1" ht="10.5" customHeight="1" x14ac:dyDescent="0.25">
      <c r="A347" s="79" t="s">
        <v>43</v>
      </c>
      <c r="B347" s="15">
        <v>12545</v>
      </c>
      <c r="C347" s="15">
        <v>5877</v>
      </c>
      <c r="D347" s="15">
        <v>6668</v>
      </c>
      <c r="E347" s="15">
        <v>5927618</v>
      </c>
      <c r="F347" s="15">
        <v>2846296</v>
      </c>
      <c r="G347" s="15">
        <v>3081322</v>
      </c>
    </row>
    <row r="348" spans="1:7" s="1" customFormat="1" ht="10.5" customHeight="1" x14ac:dyDescent="0.25">
      <c r="A348" s="79" t="s">
        <v>42</v>
      </c>
      <c r="B348" s="15">
        <v>7</v>
      </c>
      <c r="C348" s="15">
        <v>1</v>
      </c>
      <c r="D348" s="15">
        <v>6</v>
      </c>
      <c r="E348" s="15">
        <v>3576</v>
      </c>
      <c r="F348" s="15">
        <v>1649</v>
      </c>
      <c r="G348" s="15">
        <v>1927</v>
      </c>
    </row>
    <row r="349" spans="1:7" s="1" customFormat="1" ht="10.5" customHeight="1" x14ac:dyDescent="0.25">
      <c r="A349" s="79" t="s">
        <v>41</v>
      </c>
      <c r="B349" s="15">
        <v>16</v>
      </c>
      <c r="C349" s="15">
        <v>10</v>
      </c>
      <c r="D349" s="15">
        <v>6</v>
      </c>
      <c r="E349" s="15">
        <v>24539</v>
      </c>
      <c r="F349" s="15">
        <v>13010</v>
      </c>
      <c r="G349" s="15">
        <v>11529</v>
      </c>
    </row>
    <row r="350" spans="1:7" s="1" customFormat="1" ht="10.5" customHeight="1" x14ac:dyDescent="0.25">
      <c r="A350" s="79" t="s">
        <v>40</v>
      </c>
      <c r="B350" s="15">
        <v>0</v>
      </c>
      <c r="C350" s="15">
        <v>0</v>
      </c>
      <c r="D350" s="15">
        <v>0</v>
      </c>
      <c r="E350" s="15">
        <v>2223</v>
      </c>
      <c r="F350" s="15">
        <v>1229</v>
      </c>
      <c r="G350" s="15">
        <v>994</v>
      </c>
    </row>
    <row r="351" spans="1:7" s="1" customFormat="1" ht="10.5" customHeight="1" x14ac:dyDescent="0.25">
      <c r="A351" s="79" t="s">
        <v>39</v>
      </c>
      <c r="B351" s="15">
        <v>3</v>
      </c>
      <c r="C351" s="15">
        <v>0</v>
      </c>
      <c r="D351" s="15">
        <v>3</v>
      </c>
      <c r="E351" s="15">
        <v>4375</v>
      </c>
      <c r="F351" s="15">
        <v>2434</v>
      </c>
      <c r="G351" s="15">
        <v>1941</v>
      </c>
    </row>
    <row r="352" spans="1:7" s="1" customFormat="1" ht="10.5" customHeight="1" x14ac:dyDescent="0.25">
      <c r="A352" s="79" t="s">
        <v>38</v>
      </c>
      <c r="B352" s="15">
        <v>0</v>
      </c>
      <c r="C352" s="15">
        <v>0</v>
      </c>
      <c r="D352" s="15">
        <v>0</v>
      </c>
      <c r="E352" s="15">
        <v>20956</v>
      </c>
      <c r="F352" s="15">
        <v>10786</v>
      </c>
      <c r="G352" s="15">
        <v>10170</v>
      </c>
    </row>
    <row r="353" spans="1:7" s="1" customFormat="1" ht="3.75" customHeight="1" thickBot="1" x14ac:dyDescent="0.3">
      <c r="A353" s="117"/>
      <c r="B353" s="118"/>
      <c r="C353" s="118"/>
      <c r="D353" s="118"/>
      <c r="E353" s="118"/>
      <c r="F353" s="118"/>
      <c r="G353" s="118"/>
    </row>
    <row r="354" spans="1:7" s="1" customFormat="1" ht="12.75" x14ac:dyDescent="0.25">
      <c r="A354" s="50"/>
      <c r="B354" s="12"/>
      <c r="C354" s="11"/>
      <c r="D354" s="11"/>
      <c r="E354" s="12"/>
      <c r="F354" s="11"/>
      <c r="G354" s="119" t="s">
        <v>18</v>
      </c>
    </row>
    <row r="355" spans="1:7" ht="12.75" customHeight="1" x14ac:dyDescent="0.2">
      <c r="A355" s="205" t="str">
        <f>A$1</f>
        <v>CUADRO Nº 2.3</v>
      </c>
      <c r="B355" s="205"/>
      <c r="C355" s="205"/>
      <c r="D355" s="205"/>
      <c r="E355" s="205"/>
      <c r="F355" s="205"/>
      <c r="G355" s="205"/>
    </row>
    <row r="356" spans="1:7" ht="20.25" customHeight="1" x14ac:dyDescent="0.2">
      <c r="A356" s="219" t="str">
        <f>A$2</f>
        <v>PERÚ: POBLACIÓN CENSADA INDÍGENA U ORIGINARIA DE LA AMAZONÍA, BLANCA(O), MESTIZA(O) Y OTRA(O) DE 12 Y MÁS AÑOS DE EDAD, POR SEXO, SEGÚN LENGUA O IDIOMA MATERNA APRENDIDA EN LA NIÑEZ, ÁREA DE RESIDENCIA Y DEPARTAMENTO, 2017</v>
      </c>
      <c r="B356" s="219"/>
      <c r="C356" s="219"/>
      <c r="D356" s="219"/>
      <c r="E356" s="219"/>
      <c r="F356" s="219"/>
      <c r="G356" s="219"/>
    </row>
    <row r="357" spans="1:7" customFormat="1" ht="12.75" customHeight="1" x14ac:dyDescent="0.2">
      <c r="A357" s="207" t="str">
        <f>A$3</f>
        <v>(Cifras absolutas)</v>
      </c>
      <c r="B357" s="207"/>
      <c r="C357" s="207"/>
      <c r="D357" s="207"/>
      <c r="E357" s="207"/>
      <c r="F357" s="207"/>
      <c r="G357" s="207"/>
    </row>
    <row r="358" spans="1:7" ht="10.5" customHeight="1" thickBot="1" x14ac:dyDescent="0.25">
      <c r="A358" s="48"/>
      <c r="B358" s="48"/>
      <c r="C358" s="48"/>
      <c r="D358" s="48"/>
      <c r="E358" s="48"/>
      <c r="F358" s="48"/>
      <c r="G358" s="48"/>
    </row>
    <row r="359" spans="1:7" ht="12.75" customHeight="1" thickBot="1" x14ac:dyDescent="0.25">
      <c r="A359" s="220" t="str">
        <f>A$5</f>
        <v>Lengua o idioma materna aprendida en la niñez / Área de residencia y departamento</v>
      </c>
      <c r="B359" s="210" t="str">
        <f>B$5</f>
        <v>Indígena u originaria de la Amazonía</v>
      </c>
      <c r="C359" s="211"/>
      <c r="D359" s="212"/>
      <c r="E359" s="210" t="s">
        <v>116</v>
      </c>
      <c r="F359" s="211"/>
      <c r="G359" s="212"/>
    </row>
    <row r="360" spans="1:7" ht="12.75" customHeight="1" thickBot="1" x14ac:dyDescent="0.25">
      <c r="A360" s="220"/>
      <c r="B360" s="53" t="str">
        <f t="shared" ref="B360:G360" si="5">B$6</f>
        <v>Total</v>
      </c>
      <c r="C360" s="54" t="str">
        <f t="shared" si="5"/>
        <v>Hombre</v>
      </c>
      <c r="D360" s="110" t="str">
        <f t="shared" si="5"/>
        <v>Mujer</v>
      </c>
      <c r="E360" s="54" t="str">
        <f t="shared" si="5"/>
        <v>Total</v>
      </c>
      <c r="F360" s="54" t="str">
        <f t="shared" si="5"/>
        <v>Hombre</v>
      </c>
      <c r="G360" s="110" t="str">
        <f t="shared" si="5"/>
        <v>Mujer</v>
      </c>
    </row>
    <row r="361" spans="1:7" ht="3.75" customHeight="1" x14ac:dyDescent="0.2">
      <c r="A361" s="77"/>
      <c r="B361" s="14"/>
      <c r="C361" s="14"/>
      <c r="D361" s="46"/>
      <c r="E361" s="46"/>
      <c r="F361" s="46"/>
      <c r="G361" s="46"/>
    </row>
    <row r="362" spans="1:7" s="1" customFormat="1" ht="10.5" customHeight="1" x14ac:dyDescent="0.25">
      <c r="A362" s="78" t="s">
        <v>20</v>
      </c>
      <c r="B362" s="61">
        <v>51722</v>
      </c>
      <c r="C362" s="61">
        <v>26000</v>
      </c>
      <c r="D362" s="61">
        <v>25722</v>
      </c>
      <c r="E362" s="61">
        <v>535664</v>
      </c>
      <c r="F362" s="61">
        <v>266807</v>
      </c>
      <c r="G362" s="61">
        <v>268857</v>
      </c>
    </row>
    <row r="363" spans="1:7" s="1" customFormat="1" ht="10.5" customHeight="1" x14ac:dyDescent="0.25">
      <c r="A363" s="79" t="s">
        <v>50</v>
      </c>
      <c r="B363" s="15">
        <v>356</v>
      </c>
      <c r="C363" s="15">
        <v>187</v>
      </c>
      <c r="D363" s="15">
        <v>169</v>
      </c>
      <c r="E363" s="15">
        <v>1146</v>
      </c>
      <c r="F363" s="15">
        <v>680</v>
      </c>
      <c r="G363" s="15">
        <v>466</v>
      </c>
    </row>
    <row r="364" spans="1:7" s="1" customFormat="1" ht="10.5" customHeight="1" x14ac:dyDescent="0.25">
      <c r="A364" s="79" t="s">
        <v>49</v>
      </c>
      <c r="B364" s="15">
        <v>2</v>
      </c>
      <c r="C364" s="15">
        <v>0</v>
      </c>
      <c r="D364" s="15">
        <v>2</v>
      </c>
      <c r="E364" s="15">
        <v>31</v>
      </c>
      <c r="F364" s="15">
        <v>17</v>
      </c>
      <c r="G364" s="15">
        <v>14</v>
      </c>
    </row>
    <row r="365" spans="1:7" s="1" customFormat="1" ht="10.5" customHeight="1" x14ac:dyDescent="0.25">
      <c r="A365" s="79" t="s">
        <v>48</v>
      </c>
      <c r="B365" s="15">
        <v>46</v>
      </c>
      <c r="C365" s="15">
        <v>24</v>
      </c>
      <c r="D365" s="15">
        <v>22</v>
      </c>
      <c r="E365" s="15">
        <v>12</v>
      </c>
      <c r="F365" s="15">
        <v>7</v>
      </c>
      <c r="G365" s="15">
        <v>5</v>
      </c>
    </row>
    <row r="366" spans="1:7" s="1" customFormat="1" ht="10.5" customHeight="1" x14ac:dyDescent="0.25">
      <c r="A366" s="79" t="s">
        <v>47</v>
      </c>
      <c r="B366" s="15">
        <v>3594</v>
      </c>
      <c r="C366" s="15">
        <v>1778</v>
      </c>
      <c r="D366" s="15">
        <v>1816</v>
      </c>
      <c r="E366" s="15">
        <v>165</v>
      </c>
      <c r="F366" s="15">
        <v>77</v>
      </c>
      <c r="G366" s="15">
        <v>88</v>
      </c>
    </row>
    <row r="367" spans="1:7" s="1" customFormat="1" ht="10.5" customHeight="1" x14ac:dyDescent="0.25">
      <c r="A367" s="79" t="s">
        <v>134</v>
      </c>
      <c r="B367" s="15">
        <v>3560</v>
      </c>
      <c r="C367" s="15">
        <v>1756</v>
      </c>
      <c r="D367" s="15">
        <v>1804</v>
      </c>
      <c r="E367" s="15">
        <v>92</v>
      </c>
      <c r="F367" s="15">
        <v>46</v>
      </c>
      <c r="G367" s="15">
        <v>46</v>
      </c>
    </row>
    <row r="368" spans="1:7" s="1" customFormat="1" ht="10.5" customHeight="1" x14ac:dyDescent="0.25">
      <c r="A368" s="79" t="s">
        <v>46</v>
      </c>
      <c r="B368" s="15">
        <v>9592</v>
      </c>
      <c r="C368" s="15">
        <v>4621</v>
      </c>
      <c r="D368" s="15">
        <v>4971</v>
      </c>
      <c r="E368" s="15">
        <v>431</v>
      </c>
      <c r="F368" s="15">
        <v>222</v>
      </c>
      <c r="G368" s="15">
        <v>209</v>
      </c>
    </row>
    <row r="369" spans="1:7" s="1" customFormat="1" ht="10.5" customHeight="1" x14ac:dyDescent="0.25">
      <c r="A369" s="79" t="s">
        <v>45</v>
      </c>
      <c r="B369" s="15">
        <v>77</v>
      </c>
      <c r="C369" s="15">
        <v>38</v>
      </c>
      <c r="D369" s="15">
        <v>39</v>
      </c>
      <c r="E369" s="15">
        <v>22</v>
      </c>
      <c r="F369" s="15">
        <v>10</v>
      </c>
      <c r="G369" s="15">
        <v>12</v>
      </c>
    </row>
    <row r="370" spans="1:7" s="1" customFormat="1" ht="10.5" customHeight="1" x14ac:dyDescent="0.25">
      <c r="A370" s="79" t="s">
        <v>44</v>
      </c>
      <c r="B370" s="15">
        <v>142</v>
      </c>
      <c r="C370" s="15">
        <v>77</v>
      </c>
      <c r="D370" s="15">
        <v>65</v>
      </c>
      <c r="E370" s="15">
        <v>103</v>
      </c>
      <c r="F370" s="15">
        <v>52</v>
      </c>
      <c r="G370" s="15">
        <v>51</v>
      </c>
    </row>
    <row r="371" spans="1:7" s="1" customFormat="1" ht="10.5" customHeight="1" x14ac:dyDescent="0.25">
      <c r="A371" s="79" t="s">
        <v>131</v>
      </c>
      <c r="B371" s="15">
        <v>5577</v>
      </c>
      <c r="C371" s="15">
        <v>2830</v>
      </c>
      <c r="D371" s="15">
        <v>2747</v>
      </c>
      <c r="E371" s="15">
        <v>588</v>
      </c>
      <c r="F371" s="15">
        <v>333</v>
      </c>
      <c r="G371" s="15">
        <v>255</v>
      </c>
    </row>
    <row r="372" spans="1:7" s="1" customFormat="1" ht="10.5" customHeight="1" x14ac:dyDescent="0.25">
      <c r="A372" s="79" t="s">
        <v>43</v>
      </c>
      <c r="B372" s="15">
        <v>28749</v>
      </c>
      <c r="C372" s="15">
        <v>14678</v>
      </c>
      <c r="D372" s="15">
        <v>14071</v>
      </c>
      <c r="E372" s="15">
        <v>507200</v>
      </c>
      <c r="F372" s="15">
        <v>251439</v>
      </c>
      <c r="G372" s="15">
        <v>255761</v>
      </c>
    </row>
    <row r="373" spans="1:7" s="1" customFormat="1" ht="10.5" customHeight="1" x14ac:dyDescent="0.25">
      <c r="A373" s="79" t="s">
        <v>42</v>
      </c>
      <c r="B373" s="15">
        <v>5</v>
      </c>
      <c r="C373" s="15">
        <v>1</v>
      </c>
      <c r="D373" s="15">
        <v>4</v>
      </c>
      <c r="E373" s="15">
        <v>280</v>
      </c>
      <c r="F373" s="15">
        <v>109</v>
      </c>
      <c r="G373" s="15">
        <v>171</v>
      </c>
    </row>
    <row r="374" spans="1:7" s="1" customFormat="1" ht="10.5" customHeight="1" x14ac:dyDescent="0.25">
      <c r="A374" s="79" t="s">
        <v>41</v>
      </c>
      <c r="B374" s="15">
        <v>4</v>
      </c>
      <c r="C374" s="15">
        <v>2</v>
      </c>
      <c r="D374" s="15">
        <v>2</v>
      </c>
      <c r="E374" s="15">
        <v>480</v>
      </c>
      <c r="F374" s="15">
        <v>289</v>
      </c>
      <c r="G374" s="15">
        <v>191</v>
      </c>
    </row>
    <row r="375" spans="1:7" s="1" customFormat="1" ht="10.5" customHeight="1" x14ac:dyDescent="0.25">
      <c r="A375" s="79" t="s">
        <v>40</v>
      </c>
      <c r="B375" s="15">
        <v>5</v>
      </c>
      <c r="C375" s="15">
        <v>3</v>
      </c>
      <c r="D375" s="15">
        <v>2</v>
      </c>
      <c r="E375" s="15">
        <v>204</v>
      </c>
      <c r="F375" s="15">
        <v>112</v>
      </c>
      <c r="G375" s="15">
        <v>92</v>
      </c>
    </row>
    <row r="376" spans="1:7" s="1" customFormat="1" ht="10.5" customHeight="1" x14ac:dyDescent="0.25">
      <c r="A376" s="79" t="s">
        <v>39</v>
      </c>
      <c r="B376" s="15">
        <v>11</v>
      </c>
      <c r="C376" s="15">
        <v>4</v>
      </c>
      <c r="D376" s="15">
        <v>7</v>
      </c>
      <c r="E376" s="15">
        <v>522</v>
      </c>
      <c r="F376" s="15">
        <v>279</v>
      </c>
      <c r="G376" s="15">
        <v>243</v>
      </c>
    </row>
    <row r="377" spans="1:7" s="1" customFormat="1" ht="10.5" customHeight="1" x14ac:dyDescent="0.25">
      <c r="A377" s="79" t="s">
        <v>38</v>
      </c>
      <c r="B377" s="15">
        <v>2</v>
      </c>
      <c r="C377" s="15">
        <v>1</v>
      </c>
      <c r="D377" s="15">
        <v>1</v>
      </c>
      <c r="E377" s="15">
        <v>24388</v>
      </c>
      <c r="F377" s="15">
        <v>13135</v>
      </c>
      <c r="G377" s="15">
        <v>11253</v>
      </c>
    </row>
    <row r="378" spans="1:7" s="1" customFormat="1" ht="10.5" customHeight="1" x14ac:dyDescent="0.25">
      <c r="A378" s="79"/>
      <c r="B378" s="114"/>
      <c r="C378" s="114"/>
      <c r="D378" s="114"/>
      <c r="E378" s="114"/>
      <c r="F378" s="114"/>
      <c r="G378" s="114"/>
    </row>
    <row r="379" spans="1:7" s="1" customFormat="1" ht="10.5" customHeight="1" x14ac:dyDescent="0.25">
      <c r="A379" s="81" t="s">
        <v>19</v>
      </c>
      <c r="B379" s="61">
        <v>3494</v>
      </c>
      <c r="C379" s="61">
        <v>1769</v>
      </c>
      <c r="D379" s="61">
        <v>1725</v>
      </c>
      <c r="E379" s="61">
        <v>60471</v>
      </c>
      <c r="F379" s="61">
        <v>31682</v>
      </c>
      <c r="G379" s="61">
        <v>28789</v>
      </c>
    </row>
    <row r="380" spans="1:7" s="1" customFormat="1" ht="10.5" customHeight="1" x14ac:dyDescent="0.25">
      <c r="A380" s="79" t="s">
        <v>50</v>
      </c>
      <c r="B380" s="15">
        <v>45</v>
      </c>
      <c r="C380" s="15">
        <v>24</v>
      </c>
      <c r="D380" s="15">
        <v>21</v>
      </c>
      <c r="E380" s="15">
        <v>3761</v>
      </c>
      <c r="F380" s="15">
        <v>2069</v>
      </c>
      <c r="G380" s="15">
        <v>1692</v>
      </c>
    </row>
    <row r="381" spans="1:7" s="1" customFormat="1" ht="10.5" customHeight="1" x14ac:dyDescent="0.25">
      <c r="A381" s="79" t="s">
        <v>49</v>
      </c>
      <c r="B381" s="15">
        <v>3</v>
      </c>
      <c r="C381" s="15">
        <v>3</v>
      </c>
      <c r="D381" s="15">
        <v>0</v>
      </c>
      <c r="E381" s="15">
        <v>180</v>
      </c>
      <c r="F381" s="15">
        <v>112</v>
      </c>
      <c r="G381" s="15">
        <v>68</v>
      </c>
    </row>
    <row r="382" spans="1:7" s="1" customFormat="1" ht="10.5" customHeight="1" x14ac:dyDescent="0.25">
      <c r="A382" s="79" t="s">
        <v>48</v>
      </c>
      <c r="B382" s="15">
        <v>52</v>
      </c>
      <c r="C382" s="15">
        <v>29</v>
      </c>
      <c r="D382" s="15">
        <v>23</v>
      </c>
      <c r="E382" s="15">
        <v>12</v>
      </c>
      <c r="F382" s="15">
        <v>7</v>
      </c>
      <c r="G382" s="15">
        <v>5</v>
      </c>
    </row>
    <row r="383" spans="1:7" s="1" customFormat="1" ht="10.5" customHeight="1" x14ac:dyDescent="0.25">
      <c r="A383" s="79" t="s">
        <v>47</v>
      </c>
      <c r="B383" s="15">
        <v>11</v>
      </c>
      <c r="C383" s="15">
        <v>6</v>
      </c>
      <c r="D383" s="15">
        <v>5</v>
      </c>
      <c r="E383" s="15">
        <v>2</v>
      </c>
      <c r="F383" s="15">
        <v>2</v>
      </c>
      <c r="G383" s="15">
        <v>0</v>
      </c>
    </row>
    <row r="384" spans="1:7" s="1" customFormat="1" ht="10.5" customHeight="1" x14ac:dyDescent="0.25">
      <c r="A384" s="79" t="s">
        <v>134</v>
      </c>
      <c r="B384" s="15">
        <v>166</v>
      </c>
      <c r="C384" s="15">
        <v>85</v>
      </c>
      <c r="D384" s="15">
        <v>81</v>
      </c>
      <c r="E384" s="15">
        <v>33</v>
      </c>
      <c r="F384" s="15">
        <v>22</v>
      </c>
      <c r="G384" s="15">
        <v>11</v>
      </c>
    </row>
    <row r="385" spans="1:7" s="1" customFormat="1" ht="10.5" customHeight="1" x14ac:dyDescent="0.25">
      <c r="A385" s="79" t="s">
        <v>46</v>
      </c>
      <c r="B385" s="15">
        <v>1</v>
      </c>
      <c r="C385" s="15">
        <v>1</v>
      </c>
      <c r="D385" s="15">
        <v>0</v>
      </c>
      <c r="E385" s="15">
        <v>0</v>
      </c>
      <c r="F385" s="15">
        <v>0</v>
      </c>
      <c r="G385" s="15">
        <v>0</v>
      </c>
    </row>
    <row r="386" spans="1:7" s="1" customFormat="1" ht="10.5" customHeight="1" x14ac:dyDescent="0.25">
      <c r="A386" s="79" t="s">
        <v>45</v>
      </c>
      <c r="B386" s="15">
        <v>693</v>
      </c>
      <c r="C386" s="15">
        <v>335</v>
      </c>
      <c r="D386" s="15">
        <v>358</v>
      </c>
      <c r="E386" s="15">
        <v>16</v>
      </c>
      <c r="F386" s="15">
        <v>9</v>
      </c>
      <c r="G386" s="15">
        <v>7</v>
      </c>
    </row>
    <row r="387" spans="1:7" s="1" customFormat="1" ht="10.5" customHeight="1" x14ac:dyDescent="0.25">
      <c r="A387" s="79" t="s">
        <v>44</v>
      </c>
      <c r="B387" s="15">
        <v>1</v>
      </c>
      <c r="C387" s="15">
        <v>1</v>
      </c>
      <c r="D387" s="15">
        <v>0</v>
      </c>
      <c r="E387" s="15">
        <v>1</v>
      </c>
      <c r="F387" s="15">
        <v>1</v>
      </c>
      <c r="G387" s="15">
        <v>0</v>
      </c>
    </row>
    <row r="388" spans="1:7" s="1" customFormat="1" ht="10.5" customHeight="1" x14ac:dyDescent="0.25">
      <c r="A388" s="79" t="s">
        <v>131</v>
      </c>
      <c r="B388" s="15">
        <v>970</v>
      </c>
      <c r="C388" s="15">
        <v>507</v>
      </c>
      <c r="D388" s="15">
        <v>463</v>
      </c>
      <c r="E388" s="15">
        <v>67</v>
      </c>
      <c r="F388" s="15">
        <v>31</v>
      </c>
      <c r="G388" s="15">
        <v>36</v>
      </c>
    </row>
    <row r="389" spans="1:7" s="1" customFormat="1" ht="10.5" customHeight="1" x14ac:dyDescent="0.25">
      <c r="A389" s="79" t="s">
        <v>43</v>
      </c>
      <c r="B389" s="15">
        <v>1534</v>
      </c>
      <c r="C389" s="15">
        <v>771</v>
      </c>
      <c r="D389" s="15">
        <v>763</v>
      </c>
      <c r="E389" s="15">
        <v>54912</v>
      </c>
      <c r="F389" s="15">
        <v>28584</v>
      </c>
      <c r="G389" s="15">
        <v>26328</v>
      </c>
    </row>
    <row r="390" spans="1:7" s="1" customFormat="1" ht="10.5" customHeight="1" x14ac:dyDescent="0.25">
      <c r="A390" s="79" t="s">
        <v>42</v>
      </c>
      <c r="B390" s="15">
        <v>9</v>
      </c>
      <c r="C390" s="15">
        <v>2</v>
      </c>
      <c r="D390" s="15">
        <v>7</v>
      </c>
      <c r="E390" s="15">
        <v>204</v>
      </c>
      <c r="F390" s="15">
        <v>88</v>
      </c>
      <c r="G390" s="15">
        <v>116</v>
      </c>
    </row>
    <row r="391" spans="1:7" s="1" customFormat="1" ht="10.5" customHeight="1" x14ac:dyDescent="0.25">
      <c r="A391" s="79" t="s">
        <v>41</v>
      </c>
      <c r="B391" s="15">
        <v>2</v>
      </c>
      <c r="C391" s="15">
        <v>1</v>
      </c>
      <c r="D391" s="15">
        <v>1</v>
      </c>
      <c r="E391" s="15">
        <v>159</v>
      </c>
      <c r="F391" s="15">
        <v>86</v>
      </c>
      <c r="G391" s="15">
        <v>73</v>
      </c>
    </row>
    <row r="392" spans="1:7" s="1" customFormat="1" ht="10.5" customHeight="1" x14ac:dyDescent="0.25">
      <c r="A392" s="79" t="s">
        <v>40</v>
      </c>
      <c r="B392" s="15">
        <v>5</v>
      </c>
      <c r="C392" s="15">
        <v>2</v>
      </c>
      <c r="D392" s="15">
        <v>3</v>
      </c>
      <c r="E392" s="15">
        <v>27</v>
      </c>
      <c r="F392" s="15">
        <v>16</v>
      </c>
      <c r="G392" s="15">
        <v>11</v>
      </c>
    </row>
    <row r="393" spans="1:7" s="1" customFormat="1" ht="10.5" customHeight="1" x14ac:dyDescent="0.25">
      <c r="A393" s="79" t="s">
        <v>39</v>
      </c>
      <c r="B393" s="15">
        <v>1</v>
      </c>
      <c r="C393" s="15">
        <v>1</v>
      </c>
      <c r="D393" s="15">
        <v>0</v>
      </c>
      <c r="E393" s="15">
        <v>55</v>
      </c>
      <c r="F393" s="15">
        <v>33</v>
      </c>
      <c r="G393" s="15">
        <v>22</v>
      </c>
    </row>
    <row r="394" spans="1:7" s="1" customFormat="1" ht="10.5" customHeight="1" x14ac:dyDescent="0.25">
      <c r="A394" s="79" t="s">
        <v>38</v>
      </c>
      <c r="B394" s="15">
        <v>1</v>
      </c>
      <c r="C394" s="15">
        <v>1</v>
      </c>
      <c r="D394" s="15">
        <v>0</v>
      </c>
      <c r="E394" s="15">
        <v>1042</v>
      </c>
      <c r="F394" s="15">
        <v>622</v>
      </c>
      <c r="G394" s="15">
        <v>420</v>
      </c>
    </row>
    <row r="395" spans="1:7" s="1" customFormat="1" ht="10.5" customHeight="1" x14ac:dyDescent="0.25">
      <c r="A395" s="79"/>
      <c r="B395" s="120"/>
      <c r="C395" s="120"/>
      <c r="D395" s="120"/>
      <c r="E395" s="120"/>
      <c r="F395" s="120"/>
      <c r="G395" s="120"/>
    </row>
    <row r="396" spans="1:7" s="1" customFormat="1" ht="10.5" customHeight="1" x14ac:dyDescent="0.25">
      <c r="A396" s="78" t="s">
        <v>12</v>
      </c>
      <c r="B396" s="61">
        <v>128</v>
      </c>
      <c r="C396" s="61">
        <v>62</v>
      </c>
      <c r="D396" s="61">
        <v>66</v>
      </c>
      <c r="E396" s="61">
        <v>86216</v>
      </c>
      <c r="F396" s="61">
        <v>43212</v>
      </c>
      <c r="G396" s="61">
        <v>43004</v>
      </c>
    </row>
    <row r="397" spans="1:7" s="1" customFormat="1" ht="10.5" customHeight="1" x14ac:dyDescent="0.25">
      <c r="A397" s="79" t="s">
        <v>50</v>
      </c>
      <c r="B397" s="15">
        <v>0</v>
      </c>
      <c r="C397" s="15">
        <v>0</v>
      </c>
      <c r="D397" s="15">
        <v>0</v>
      </c>
      <c r="E397" s="15">
        <v>2032</v>
      </c>
      <c r="F397" s="15">
        <v>1004</v>
      </c>
      <c r="G397" s="15">
        <v>1028</v>
      </c>
    </row>
    <row r="398" spans="1:7" s="1" customFormat="1" ht="10.5" customHeight="1" x14ac:dyDescent="0.25">
      <c r="A398" s="79" t="s">
        <v>49</v>
      </c>
      <c r="B398" s="15">
        <v>0</v>
      </c>
      <c r="C398" s="15">
        <v>0</v>
      </c>
      <c r="D398" s="15">
        <v>0</v>
      </c>
      <c r="E398" s="15">
        <v>3384</v>
      </c>
      <c r="F398" s="15">
        <v>1730</v>
      </c>
      <c r="G398" s="15">
        <v>1654</v>
      </c>
    </row>
    <row r="399" spans="1:7" s="1" customFormat="1" ht="10.5" customHeight="1" x14ac:dyDescent="0.25">
      <c r="A399" s="79" t="s">
        <v>48</v>
      </c>
      <c r="B399" s="15">
        <v>4</v>
      </c>
      <c r="C399" s="15">
        <v>1</v>
      </c>
      <c r="D399" s="15">
        <v>3</v>
      </c>
      <c r="E399" s="15">
        <v>4</v>
      </c>
      <c r="F399" s="15">
        <v>3</v>
      </c>
      <c r="G399" s="15">
        <v>1</v>
      </c>
    </row>
    <row r="400" spans="1:7" s="1" customFormat="1" ht="10.5" customHeight="1" x14ac:dyDescent="0.25">
      <c r="A400" s="79" t="s">
        <v>47</v>
      </c>
      <c r="B400" s="15">
        <v>0</v>
      </c>
      <c r="C400" s="15">
        <v>0</v>
      </c>
      <c r="D400" s="15">
        <v>0</v>
      </c>
      <c r="E400" s="15">
        <v>0</v>
      </c>
      <c r="F400" s="15">
        <v>0</v>
      </c>
      <c r="G400" s="15">
        <v>0</v>
      </c>
    </row>
    <row r="401" spans="1:7" s="1" customFormat="1" ht="10.5" customHeight="1" x14ac:dyDescent="0.25">
      <c r="A401" s="79" t="s">
        <v>134</v>
      </c>
      <c r="B401" s="15">
        <v>6</v>
      </c>
      <c r="C401" s="15">
        <v>2</v>
      </c>
      <c r="D401" s="15">
        <v>4</v>
      </c>
      <c r="E401" s="15">
        <v>4</v>
      </c>
      <c r="F401" s="15">
        <v>3</v>
      </c>
      <c r="G401" s="15">
        <v>1</v>
      </c>
    </row>
    <row r="402" spans="1:7" s="1" customFormat="1" ht="10.5" customHeight="1" x14ac:dyDescent="0.25">
      <c r="A402" s="79" t="s">
        <v>46</v>
      </c>
      <c r="B402" s="15">
        <v>0</v>
      </c>
      <c r="C402" s="15">
        <v>0</v>
      </c>
      <c r="D402" s="15">
        <v>0</v>
      </c>
      <c r="E402" s="15">
        <v>1</v>
      </c>
      <c r="F402" s="15">
        <v>1</v>
      </c>
      <c r="G402" s="15">
        <v>0</v>
      </c>
    </row>
    <row r="403" spans="1:7" s="1" customFormat="1" ht="10.5" customHeight="1" x14ac:dyDescent="0.25">
      <c r="A403" s="79" t="s">
        <v>45</v>
      </c>
      <c r="B403" s="15">
        <v>2</v>
      </c>
      <c r="C403" s="15">
        <v>0</v>
      </c>
      <c r="D403" s="15">
        <v>2</v>
      </c>
      <c r="E403" s="15">
        <v>2</v>
      </c>
      <c r="F403" s="15">
        <v>1</v>
      </c>
      <c r="G403" s="15">
        <v>1</v>
      </c>
    </row>
    <row r="404" spans="1:7" s="1" customFormat="1" ht="10.5" customHeight="1" x14ac:dyDescent="0.25">
      <c r="A404" s="79" t="s">
        <v>44</v>
      </c>
      <c r="B404" s="15">
        <v>0</v>
      </c>
      <c r="C404" s="15">
        <v>0</v>
      </c>
      <c r="D404" s="15">
        <v>0</v>
      </c>
      <c r="E404" s="15">
        <v>0</v>
      </c>
      <c r="F404" s="15">
        <v>0</v>
      </c>
      <c r="G404" s="15">
        <v>0</v>
      </c>
    </row>
    <row r="405" spans="1:7" s="1" customFormat="1" ht="10.5" customHeight="1" x14ac:dyDescent="0.25">
      <c r="A405" s="79" t="s">
        <v>131</v>
      </c>
      <c r="B405" s="15">
        <v>3</v>
      </c>
      <c r="C405" s="15">
        <v>1</v>
      </c>
      <c r="D405" s="15">
        <v>2</v>
      </c>
      <c r="E405" s="15">
        <v>2</v>
      </c>
      <c r="F405" s="15">
        <v>1</v>
      </c>
      <c r="G405" s="15">
        <v>1</v>
      </c>
    </row>
    <row r="406" spans="1:7" s="1" customFormat="1" ht="10.5" customHeight="1" x14ac:dyDescent="0.25">
      <c r="A406" s="79" t="s">
        <v>43</v>
      </c>
      <c r="B406" s="15">
        <v>113</v>
      </c>
      <c r="C406" s="15">
        <v>58</v>
      </c>
      <c r="D406" s="15">
        <v>55</v>
      </c>
      <c r="E406" s="15">
        <v>80268</v>
      </c>
      <c r="F406" s="15">
        <v>40163</v>
      </c>
      <c r="G406" s="15">
        <v>40105</v>
      </c>
    </row>
    <row r="407" spans="1:7" s="1" customFormat="1" ht="10.5" customHeight="1" x14ac:dyDescent="0.25">
      <c r="A407" s="79" t="s">
        <v>42</v>
      </c>
      <c r="B407" s="15">
        <v>0</v>
      </c>
      <c r="C407" s="15">
        <v>0</v>
      </c>
      <c r="D407" s="15">
        <v>0</v>
      </c>
      <c r="E407" s="15">
        <v>14</v>
      </c>
      <c r="F407" s="15">
        <v>3</v>
      </c>
      <c r="G407" s="15">
        <v>11</v>
      </c>
    </row>
    <row r="408" spans="1:7" s="1" customFormat="1" ht="10.5" customHeight="1" x14ac:dyDescent="0.25">
      <c r="A408" s="79" t="s">
        <v>41</v>
      </c>
      <c r="B408" s="15">
        <v>0</v>
      </c>
      <c r="C408" s="15">
        <v>0</v>
      </c>
      <c r="D408" s="15">
        <v>0</v>
      </c>
      <c r="E408" s="15">
        <v>103</v>
      </c>
      <c r="F408" s="15">
        <v>66</v>
      </c>
      <c r="G408" s="15">
        <v>37</v>
      </c>
    </row>
    <row r="409" spans="1:7" s="1" customFormat="1" ht="10.5" customHeight="1" x14ac:dyDescent="0.25">
      <c r="A409" s="79" t="s">
        <v>40</v>
      </c>
      <c r="B409" s="15">
        <v>0</v>
      </c>
      <c r="C409" s="15">
        <v>0</v>
      </c>
      <c r="D409" s="15">
        <v>0</v>
      </c>
      <c r="E409" s="15">
        <v>23</v>
      </c>
      <c r="F409" s="15">
        <v>18</v>
      </c>
      <c r="G409" s="15">
        <v>5</v>
      </c>
    </row>
    <row r="410" spans="1:7" s="1" customFormat="1" ht="10.5" customHeight="1" x14ac:dyDescent="0.25">
      <c r="A410" s="79" t="s">
        <v>39</v>
      </c>
      <c r="B410" s="15">
        <v>0</v>
      </c>
      <c r="C410" s="15">
        <v>0</v>
      </c>
      <c r="D410" s="15">
        <v>0</v>
      </c>
      <c r="E410" s="15">
        <v>70</v>
      </c>
      <c r="F410" s="15">
        <v>47</v>
      </c>
      <c r="G410" s="15">
        <v>23</v>
      </c>
    </row>
    <row r="411" spans="1:7" s="1" customFormat="1" ht="10.5" customHeight="1" x14ac:dyDescent="0.25">
      <c r="A411" s="79" t="s">
        <v>38</v>
      </c>
      <c r="B411" s="15">
        <v>0</v>
      </c>
      <c r="C411" s="15">
        <v>0</v>
      </c>
      <c r="D411" s="15">
        <v>0</v>
      </c>
      <c r="E411" s="15">
        <v>309</v>
      </c>
      <c r="F411" s="15">
        <v>172</v>
      </c>
      <c r="G411" s="15">
        <v>137</v>
      </c>
    </row>
    <row r="412" spans="1:7" s="1" customFormat="1" ht="3.75" customHeight="1" thickBot="1" x14ac:dyDescent="0.3">
      <c r="A412" s="117"/>
      <c r="B412" s="118"/>
      <c r="C412" s="118"/>
      <c r="D412" s="118"/>
      <c r="E412" s="118"/>
      <c r="F412" s="118"/>
      <c r="G412" s="118"/>
    </row>
    <row r="413" spans="1:7" s="1" customFormat="1" ht="12.75" x14ac:dyDescent="0.25">
      <c r="A413" s="50"/>
      <c r="B413" s="12"/>
      <c r="C413" s="11"/>
      <c r="D413" s="11"/>
      <c r="E413" s="12"/>
      <c r="F413" s="11"/>
      <c r="G413" s="119" t="s">
        <v>18</v>
      </c>
    </row>
    <row r="414" spans="1:7" ht="12.75" customHeight="1" x14ac:dyDescent="0.2">
      <c r="A414" s="205" t="str">
        <f>A$1</f>
        <v>CUADRO Nº 2.3</v>
      </c>
      <c r="B414" s="205"/>
      <c r="C414" s="205"/>
      <c r="D414" s="205"/>
      <c r="E414" s="205"/>
      <c r="F414" s="205"/>
      <c r="G414" s="205"/>
    </row>
    <row r="415" spans="1:7" ht="20.25" customHeight="1" x14ac:dyDescent="0.2">
      <c r="A415" s="219" t="str">
        <f>A$2</f>
        <v>PERÚ: POBLACIÓN CENSADA INDÍGENA U ORIGINARIA DE LA AMAZONÍA, BLANCA(O), MESTIZA(O) Y OTRA(O) DE 12 Y MÁS AÑOS DE EDAD, POR SEXO, SEGÚN LENGUA O IDIOMA MATERNA APRENDIDA EN LA NIÑEZ, ÁREA DE RESIDENCIA Y DEPARTAMENTO, 2017</v>
      </c>
      <c r="B415" s="219"/>
      <c r="C415" s="219"/>
      <c r="D415" s="219"/>
      <c r="E415" s="219"/>
      <c r="F415" s="219"/>
      <c r="G415" s="219"/>
    </row>
    <row r="416" spans="1:7" customFormat="1" ht="12.75" customHeight="1" x14ac:dyDescent="0.2">
      <c r="A416" s="207" t="str">
        <f>A$3</f>
        <v>(Cifras absolutas)</v>
      </c>
      <c r="B416" s="207"/>
      <c r="C416" s="207"/>
      <c r="D416" s="207"/>
      <c r="E416" s="207"/>
      <c r="F416" s="207"/>
      <c r="G416" s="207"/>
    </row>
    <row r="417" spans="1:7" ht="10.5" customHeight="1" thickBot="1" x14ac:dyDescent="0.25">
      <c r="A417" s="48"/>
      <c r="B417" s="48"/>
      <c r="C417" s="48"/>
      <c r="D417" s="48"/>
      <c r="E417" s="48"/>
      <c r="F417" s="48"/>
      <c r="G417" s="48"/>
    </row>
    <row r="418" spans="1:7" ht="12.75" customHeight="1" thickBot="1" x14ac:dyDescent="0.25">
      <c r="A418" s="220" t="str">
        <f>A$5</f>
        <v>Lengua o idioma materna aprendida en la niñez / Área de residencia y departamento</v>
      </c>
      <c r="B418" s="210" t="str">
        <f>B$5</f>
        <v>Indígena u originaria de la Amazonía</v>
      </c>
      <c r="C418" s="211"/>
      <c r="D418" s="212"/>
      <c r="E418" s="210" t="s">
        <v>116</v>
      </c>
      <c r="F418" s="211"/>
      <c r="G418" s="212"/>
    </row>
    <row r="419" spans="1:7" ht="12.75" customHeight="1" thickBot="1" x14ac:dyDescent="0.25">
      <c r="A419" s="220"/>
      <c r="B419" s="53" t="str">
        <f t="shared" ref="B419:G419" si="6">B$6</f>
        <v>Total</v>
      </c>
      <c r="C419" s="54" t="str">
        <f t="shared" si="6"/>
        <v>Hombre</v>
      </c>
      <c r="D419" s="110" t="str">
        <f t="shared" si="6"/>
        <v>Mujer</v>
      </c>
      <c r="E419" s="54" t="str">
        <f t="shared" si="6"/>
        <v>Total</v>
      </c>
      <c r="F419" s="54" t="str">
        <f t="shared" si="6"/>
        <v>Hombre</v>
      </c>
      <c r="G419" s="110" t="str">
        <f t="shared" si="6"/>
        <v>Mujer</v>
      </c>
    </row>
    <row r="420" spans="1:7" ht="3.75" customHeight="1" x14ac:dyDescent="0.2">
      <c r="A420" s="77"/>
      <c r="B420" s="14"/>
      <c r="C420" s="14"/>
      <c r="D420" s="46"/>
      <c r="E420" s="46"/>
      <c r="F420" s="46"/>
      <c r="G420" s="46"/>
    </row>
    <row r="421" spans="1:7" s="1" customFormat="1" ht="10.5" customHeight="1" x14ac:dyDescent="0.25">
      <c r="A421" s="78" t="s">
        <v>11</v>
      </c>
      <c r="B421" s="61">
        <v>12284</v>
      </c>
      <c r="C421" s="61">
        <v>6110</v>
      </c>
      <c r="D421" s="61">
        <v>6174</v>
      </c>
      <c r="E421" s="61">
        <v>107909</v>
      </c>
      <c r="F421" s="61">
        <v>55064</v>
      </c>
      <c r="G421" s="61">
        <v>52845</v>
      </c>
    </row>
    <row r="422" spans="1:7" s="1" customFormat="1" ht="10.5" customHeight="1" x14ac:dyDescent="0.25">
      <c r="A422" s="79" t="s">
        <v>50</v>
      </c>
      <c r="B422" s="15">
        <v>10</v>
      </c>
      <c r="C422" s="15">
        <v>7</v>
      </c>
      <c r="D422" s="15">
        <v>3</v>
      </c>
      <c r="E422" s="15">
        <v>5336</v>
      </c>
      <c r="F422" s="15">
        <v>2695</v>
      </c>
      <c r="G422" s="15">
        <v>2641</v>
      </c>
    </row>
    <row r="423" spans="1:7" s="1" customFormat="1" ht="10.5" customHeight="1" x14ac:dyDescent="0.25">
      <c r="A423" s="79" t="s">
        <v>49</v>
      </c>
      <c r="B423" s="15">
        <v>41</v>
      </c>
      <c r="C423" s="15">
        <v>22</v>
      </c>
      <c r="D423" s="15">
        <v>19</v>
      </c>
      <c r="E423" s="15">
        <v>34</v>
      </c>
      <c r="F423" s="15">
        <v>20</v>
      </c>
      <c r="G423" s="15">
        <v>14</v>
      </c>
    </row>
    <row r="424" spans="1:7" s="1" customFormat="1" ht="10.5" customHeight="1" x14ac:dyDescent="0.25">
      <c r="A424" s="79" t="s">
        <v>48</v>
      </c>
      <c r="B424" s="15">
        <v>6651</v>
      </c>
      <c r="C424" s="15">
        <v>3260</v>
      </c>
      <c r="D424" s="15">
        <v>3391</v>
      </c>
      <c r="E424" s="15">
        <v>153</v>
      </c>
      <c r="F424" s="15">
        <v>66</v>
      </c>
      <c r="G424" s="15">
        <v>87</v>
      </c>
    </row>
    <row r="425" spans="1:7" s="1" customFormat="1" ht="10.5" customHeight="1" x14ac:dyDescent="0.25">
      <c r="A425" s="79" t="s">
        <v>47</v>
      </c>
      <c r="B425" s="15">
        <v>9</v>
      </c>
      <c r="C425" s="15">
        <v>7</v>
      </c>
      <c r="D425" s="15">
        <v>2</v>
      </c>
      <c r="E425" s="15">
        <v>1</v>
      </c>
      <c r="F425" s="15">
        <v>1</v>
      </c>
      <c r="G425" s="15">
        <v>0</v>
      </c>
    </row>
    <row r="426" spans="1:7" s="1" customFormat="1" ht="10.5" customHeight="1" x14ac:dyDescent="0.25">
      <c r="A426" s="79" t="s">
        <v>134</v>
      </c>
      <c r="B426" s="15">
        <v>24</v>
      </c>
      <c r="C426" s="15">
        <v>20</v>
      </c>
      <c r="D426" s="15">
        <v>4</v>
      </c>
      <c r="E426" s="15">
        <v>5</v>
      </c>
      <c r="F426" s="15">
        <v>3</v>
      </c>
      <c r="G426" s="15">
        <v>2</v>
      </c>
    </row>
    <row r="427" spans="1:7" s="1" customFormat="1" ht="10.5" customHeight="1" x14ac:dyDescent="0.25">
      <c r="A427" s="79" t="s">
        <v>46</v>
      </c>
      <c r="B427" s="15">
        <v>0</v>
      </c>
      <c r="C427" s="15">
        <v>0</v>
      </c>
      <c r="D427" s="15">
        <v>0</v>
      </c>
      <c r="E427" s="15">
        <v>1</v>
      </c>
      <c r="F427" s="15">
        <v>1</v>
      </c>
      <c r="G427" s="15">
        <v>0</v>
      </c>
    </row>
    <row r="428" spans="1:7" s="1" customFormat="1" ht="10.5" customHeight="1" x14ac:dyDescent="0.25">
      <c r="A428" s="79" t="s">
        <v>45</v>
      </c>
      <c r="B428" s="15">
        <v>2</v>
      </c>
      <c r="C428" s="15">
        <v>1</v>
      </c>
      <c r="D428" s="15">
        <v>1</v>
      </c>
      <c r="E428" s="15">
        <v>1</v>
      </c>
      <c r="F428" s="15">
        <v>1</v>
      </c>
      <c r="G428" s="15">
        <v>0</v>
      </c>
    </row>
    <row r="429" spans="1:7" s="1" customFormat="1" ht="10.5" customHeight="1" x14ac:dyDescent="0.25">
      <c r="A429" s="79" t="s">
        <v>44</v>
      </c>
      <c r="B429" s="15">
        <v>0</v>
      </c>
      <c r="C429" s="15">
        <v>0</v>
      </c>
      <c r="D429" s="15">
        <v>0</v>
      </c>
      <c r="E429" s="15">
        <v>2</v>
      </c>
      <c r="F429" s="15">
        <v>2</v>
      </c>
      <c r="G429" s="15">
        <v>0</v>
      </c>
    </row>
    <row r="430" spans="1:7" s="1" customFormat="1" ht="10.5" customHeight="1" x14ac:dyDescent="0.25">
      <c r="A430" s="79" t="s">
        <v>131</v>
      </c>
      <c r="B430" s="15">
        <v>104</v>
      </c>
      <c r="C430" s="15">
        <v>61</v>
      </c>
      <c r="D430" s="15">
        <v>43</v>
      </c>
      <c r="E430" s="15">
        <v>70</v>
      </c>
      <c r="F430" s="15">
        <v>34</v>
      </c>
      <c r="G430" s="15">
        <v>36</v>
      </c>
    </row>
    <row r="431" spans="1:7" s="1" customFormat="1" ht="10.5" customHeight="1" x14ac:dyDescent="0.25">
      <c r="A431" s="79" t="s">
        <v>43</v>
      </c>
      <c r="B431" s="15">
        <v>5430</v>
      </c>
      <c r="C431" s="15">
        <v>2724</v>
      </c>
      <c r="D431" s="15">
        <v>2706</v>
      </c>
      <c r="E431" s="15">
        <v>93048</v>
      </c>
      <c r="F431" s="15">
        <v>47246</v>
      </c>
      <c r="G431" s="15">
        <v>45802</v>
      </c>
    </row>
    <row r="432" spans="1:7" s="1" customFormat="1" ht="10.5" customHeight="1" x14ac:dyDescent="0.25">
      <c r="A432" s="79" t="s">
        <v>42</v>
      </c>
      <c r="B432" s="15">
        <v>0</v>
      </c>
      <c r="C432" s="15">
        <v>0</v>
      </c>
      <c r="D432" s="15">
        <v>0</v>
      </c>
      <c r="E432" s="15">
        <v>18</v>
      </c>
      <c r="F432" s="15">
        <v>10</v>
      </c>
      <c r="G432" s="15">
        <v>8</v>
      </c>
    </row>
    <row r="433" spans="1:7" s="1" customFormat="1" ht="10.5" customHeight="1" x14ac:dyDescent="0.25">
      <c r="A433" s="79" t="s">
        <v>41</v>
      </c>
      <c r="B433" s="15">
        <v>0</v>
      </c>
      <c r="C433" s="15">
        <v>0</v>
      </c>
      <c r="D433" s="15">
        <v>0</v>
      </c>
      <c r="E433" s="15">
        <v>172</v>
      </c>
      <c r="F433" s="15">
        <v>106</v>
      </c>
      <c r="G433" s="15">
        <v>66</v>
      </c>
    </row>
    <row r="434" spans="1:7" s="1" customFormat="1" ht="10.5" customHeight="1" x14ac:dyDescent="0.25">
      <c r="A434" s="79" t="s">
        <v>40</v>
      </c>
      <c r="B434" s="15">
        <v>8</v>
      </c>
      <c r="C434" s="15">
        <v>4</v>
      </c>
      <c r="D434" s="15">
        <v>4</v>
      </c>
      <c r="E434" s="15">
        <v>39</v>
      </c>
      <c r="F434" s="15">
        <v>23</v>
      </c>
      <c r="G434" s="15">
        <v>16</v>
      </c>
    </row>
    <row r="435" spans="1:7" s="1" customFormat="1" ht="10.5" customHeight="1" x14ac:dyDescent="0.25">
      <c r="A435" s="79" t="s">
        <v>39</v>
      </c>
      <c r="B435" s="15">
        <v>5</v>
      </c>
      <c r="C435" s="15">
        <v>4</v>
      </c>
      <c r="D435" s="15">
        <v>1</v>
      </c>
      <c r="E435" s="15">
        <v>120</v>
      </c>
      <c r="F435" s="15">
        <v>58</v>
      </c>
      <c r="G435" s="15">
        <v>62</v>
      </c>
    </row>
    <row r="436" spans="1:7" s="1" customFormat="1" ht="10.5" customHeight="1" x14ac:dyDescent="0.25">
      <c r="A436" s="79" t="s">
        <v>38</v>
      </c>
      <c r="B436" s="15">
        <v>0</v>
      </c>
      <c r="C436" s="15">
        <v>0</v>
      </c>
      <c r="D436" s="15">
        <v>0</v>
      </c>
      <c r="E436" s="15">
        <v>8909</v>
      </c>
      <c r="F436" s="15">
        <v>4798</v>
      </c>
      <c r="G436" s="15">
        <v>4111</v>
      </c>
    </row>
    <row r="437" spans="1:7" s="1" customFormat="1" ht="10.5" customHeight="1" x14ac:dyDescent="0.25">
      <c r="A437" s="79"/>
      <c r="B437" s="114"/>
      <c r="C437" s="114"/>
      <c r="D437" s="114"/>
      <c r="E437" s="114"/>
      <c r="F437" s="114"/>
      <c r="G437" s="114"/>
    </row>
    <row r="438" spans="1:7" s="1" customFormat="1" ht="10.5" customHeight="1" x14ac:dyDescent="0.25">
      <c r="A438" s="78" t="s">
        <v>10</v>
      </c>
      <c r="B438" s="61">
        <v>428</v>
      </c>
      <c r="C438" s="61">
        <v>222</v>
      </c>
      <c r="D438" s="61">
        <v>206</v>
      </c>
      <c r="E438" s="61">
        <v>1252467</v>
      </c>
      <c r="F438" s="61">
        <v>607101</v>
      </c>
      <c r="G438" s="61">
        <v>645366</v>
      </c>
    </row>
    <row r="439" spans="1:7" s="1" customFormat="1" ht="10.5" customHeight="1" x14ac:dyDescent="0.25">
      <c r="A439" s="79" t="s">
        <v>50</v>
      </c>
      <c r="B439" s="15">
        <v>1</v>
      </c>
      <c r="C439" s="15">
        <v>0</v>
      </c>
      <c r="D439" s="15">
        <v>1</v>
      </c>
      <c r="E439" s="15">
        <v>1018</v>
      </c>
      <c r="F439" s="15">
        <v>596</v>
      </c>
      <c r="G439" s="15">
        <v>422</v>
      </c>
    </row>
    <row r="440" spans="1:7" s="1" customFormat="1" ht="10.5" customHeight="1" x14ac:dyDescent="0.25">
      <c r="A440" s="79" t="s">
        <v>49</v>
      </c>
      <c r="B440" s="15">
        <v>0</v>
      </c>
      <c r="C440" s="15">
        <v>0</v>
      </c>
      <c r="D440" s="15">
        <v>0</v>
      </c>
      <c r="E440" s="15">
        <v>47</v>
      </c>
      <c r="F440" s="15">
        <v>28</v>
      </c>
      <c r="G440" s="15">
        <v>19</v>
      </c>
    </row>
    <row r="441" spans="1:7" s="1" customFormat="1" ht="10.5" customHeight="1" x14ac:dyDescent="0.25">
      <c r="A441" s="79" t="s">
        <v>48</v>
      </c>
      <c r="B441" s="15">
        <v>3</v>
      </c>
      <c r="C441" s="15">
        <v>2</v>
      </c>
      <c r="D441" s="15">
        <v>1</v>
      </c>
      <c r="E441" s="15">
        <v>4</v>
      </c>
      <c r="F441" s="15">
        <v>1</v>
      </c>
      <c r="G441" s="15">
        <v>3</v>
      </c>
    </row>
    <row r="442" spans="1:7" s="1" customFormat="1" ht="10.5" customHeight="1" x14ac:dyDescent="0.25">
      <c r="A442" s="79" t="s">
        <v>47</v>
      </c>
      <c r="B442" s="15">
        <v>51</v>
      </c>
      <c r="C442" s="15">
        <v>26</v>
      </c>
      <c r="D442" s="15">
        <v>25</v>
      </c>
      <c r="E442" s="15">
        <v>30</v>
      </c>
      <c r="F442" s="15">
        <v>16</v>
      </c>
      <c r="G442" s="15">
        <v>14</v>
      </c>
    </row>
    <row r="443" spans="1:7" s="1" customFormat="1" ht="10.5" customHeight="1" x14ac:dyDescent="0.25">
      <c r="A443" s="79" t="s">
        <v>134</v>
      </c>
      <c r="B443" s="15">
        <v>7</v>
      </c>
      <c r="C443" s="15">
        <v>3</v>
      </c>
      <c r="D443" s="15">
        <v>4</v>
      </c>
      <c r="E443" s="15">
        <v>11</v>
      </c>
      <c r="F443" s="15">
        <v>6</v>
      </c>
      <c r="G443" s="15">
        <v>5</v>
      </c>
    </row>
    <row r="444" spans="1:7" s="1" customFormat="1" ht="10.5" customHeight="1" x14ac:dyDescent="0.25">
      <c r="A444" s="79" t="s">
        <v>46</v>
      </c>
      <c r="B444" s="15">
        <v>3</v>
      </c>
      <c r="C444" s="15">
        <v>1</v>
      </c>
      <c r="D444" s="15">
        <v>2</v>
      </c>
      <c r="E444" s="15">
        <v>4</v>
      </c>
      <c r="F444" s="15">
        <v>3</v>
      </c>
      <c r="G444" s="15">
        <v>1</v>
      </c>
    </row>
    <row r="445" spans="1:7" s="1" customFormat="1" ht="10.5" customHeight="1" x14ac:dyDescent="0.25">
      <c r="A445" s="79" t="s">
        <v>45</v>
      </c>
      <c r="B445" s="15">
        <v>4</v>
      </c>
      <c r="C445" s="15">
        <v>2</v>
      </c>
      <c r="D445" s="15">
        <v>2</v>
      </c>
      <c r="E445" s="15">
        <v>10</v>
      </c>
      <c r="F445" s="15">
        <v>7</v>
      </c>
      <c r="G445" s="15">
        <v>3</v>
      </c>
    </row>
    <row r="446" spans="1:7" s="1" customFormat="1" ht="10.5" customHeight="1" x14ac:dyDescent="0.25">
      <c r="A446" s="79" t="s">
        <v>44</v>
      </c>
      <c r="B446" s="15">
        <v>2</v>
      </c>
      <c r="C446" s="15">
        <v>1</v>
      </c>
      <c r="D446" s="15">
        <v>1</v>
      </c>
      <c r="E446" s="15">
        <v>12</v>
      </c>
      <c r="F446" s="15">
        <v>6</v>
      </c>
      <c r="G446" s="15">
        <v>6</v>
      </c>
    </row>
    <row r="447" spans="1:7" s="1" customFormat="1" ht="10.5" customHeight="1" x14ac:dyDescent="0.25">
      <c r="A447" s="79" t="s">
        <v>131</v>
      </c>
      <c r="B447" s="15">
        <v>5</v>
      </c>
      <c r="C447" s="15">
        <v>4</v>
      </c>
      <c r="D447" s="15">
        <v>1</v>
      </c>
      <c r="E447" s="15">
        <v>13</v>
      </c>
      <c r="F447" s="15">
        <v>8</v>
      </c>
      <c r="G447" s="15">
        <v>5</v>
      </c>
    </row>
    <row r="448" spans="1:7" s="1" customFormat="1" ht="10.5" customHeight="1" x14ac:dyDescent="0.25">
      <c r="A448" s="79" t="s">
        <v>43</v>
      </c>
      <c r="B448" s="15">
        <v>351</v>
      </c>
      <c r="C448" s="15">
        <v>182</v>
      </c>
      <c r="D448" s="15">
        <v>169</v>
      </c>
      <c r="E448" s="15">
        <v>1230408</v>
      </c>
      <c r="F448" s="15">
        <v>595638</v>
      </c>
      <c r="G448" s="15">
        <v>634770</v>
      </c>
    </row>
    <row r="449" spans="1:7" s="1" customFormat="1" ht="10.5" customHeight="1" x14ac:dyDescent="0.25">
      <c r="A449" s="79" t="s">
        <v>42</v>
      </c>
      <c r="B449" s="15">
        <v>0</v>
      </c>
      <c r="C449" s="15">
        <v>0</v>
      </c>
      <c r="D449" s="15">
        <v>0</v>
      </c>
      <c r="E449" s="15">
        <v>197</v>
      </c>
      <c r="F449" s="15">
        <v>116</v>
      </c>
      <c r="G449" s="15">
        <v>81</v>
      </c>
    </row>
    <row r="450" spans="1:7" s="1" customFormat="1" ht="10.5" customHeight="1" x14ac:dyDescent="0.25">
      <c r="A450" s="79" t="s">
        <v>41</v>
      </c>
      <c r="B450" s="15">
        <v>0</v>
      </c>
      <c r="C450" s="15">
        <v>0</v>
      </c>
      <c r="D450" s="15">
        <v>0</v>
      </c>
      <c r="E450" s="15">
        <v>602</v>
      </c>
      <c r="F450" s="15">
        <v>368</v>
      </c>
      <c r="G450" s="15">
        <v>234</v>
      </c>
    </row>
    <row r="451" spans="1:7" s="1" customFormat="1" ht="10.5" customHeight="1" x14ac:dyDescent="0.25">
      <c r="A451" s="79" t="s">
        <v>40</v>
      </c>
      <c r="B451" s="15">
        <v>0</v>
      </c>
      <c r="C451" s="15">
        <v>0</v>
      </c>
      <c r="D451" s="15">
        <v>0</v>
      </c>
      <c r="E451" s="15">
        <v>623</v>
      </c>
      <c r="F451" s="15">
        <v>336</v>
      </c>
      <c r="G451" s="15">
        <v>287</v>
      </c>
    </row>
    <row r="452" spans="1:7" s="1" customFormat="1" ht="10.5" customHeight="1" x14ac:dyDescent="0.25">
      <c r="A452" s="79" t="s">
        <v>39</v>
      </c>
      <c r="B452" s="15">
        <v>0</v>
      </c>
      <c r="C452" s="15">
        <v>0</v>
      </c>
      <c r="D452" s="15">
        <v>0</v>
      </c>
      <c r="E452" s="15">
        <v>1304</v>
      </c>
      <c r="F452" s="15">
        <v>711</v>
      </c>
      <c r="G452" s="15">
        <v>593</v>
      </c>
    </row>
    <row r="453" spans="1:7" s="1" customFormat="1" ht="10.5" customHeight="1" x14ac:dyDescent="0.25">
      <c r="A453" s="79" t="s">
        <v>38</v>
      </c>
      <c r="B453" s="15">
        <v>1</v>
      </c>
      <c r="C453" s="15">
        <v>1</v>
      </c>
      <c r="D453" s="15">
        <v>0</v>
      </c>
      <c r="E453" s="15">
        <v>18184</v>
      </c>
      <c r="F453" s="15">
        <v>9261</v>
      </c>
      <c r="G453" s="15">
        <v>8923</v>
      </c>
    </row>
    <row r="454" spans="1:7" s="1" customFormat="1" ht="10.5" customHeight="1" x14ac:dyDescent="0.25">
      <c r="A454" s="79"/>
      <c r="B454" s="114"/>
      <c r="C454" s="114"/>
      <c r="D454" s="114"/>
      <c r="E454" s="114"/>
      <c r="F454" s="114"/>
      <c r="G454" s="114"/>
    </row>
    <row r="455" spans="1:7" s="1" customFormat="1" ht="10.5" customHeight="1" x14ac:dyDescent="0.25">
      <c r="A455" s="78" t="s">
        <v>9</v>
      </c>
      <c r="B455" s="61">
        <v>157</v>
      </c>
      <c r="C455" s="61">
        <v>95</v>
      </c>
      <c r="D455" s="61">
        <v>62</v>
      </c>
      <c r="E455" s="61">
        <v>86222</v>
      </c>
      <c r="F455" s="61">
        <v>45192</v>
      </c>
      <c r="G455" s="61">
        <v>41030</v>
      </c>
    </row>
    <row r="456" spans="1:7" s="1" customFormat="1" ht="10.5" customHeight="1" x14ac:dyDescent="0.25">
      <c r="A456" s="79" t="s">
        <v>50</v>
      </c>
      <c r="B456" s="15">
        <v>23</v>
      </c>
      <c r="C456" s="15">
        <v>17</v>
      </c>
      <c r="D456" s="15">
        <v>6</v>
      </c>
      <c r="E456" s="15">
        <v>8243</v>
      </c>
      <c r="F456" s="15">
        <v>4285</v>
      </c>
      <c r="G456" s="15">
        <v>3958</v>
      </c>
    </row>
    <row r="457" spans="1:7" s="1" customFormat="1" ht="10.5" customHeight="1" x14ac:dyDescent="0.25">
      <c r="A457" s="79" t="s">
        <v>49</v>
      </c>
      <c r="B457" s="15">
        <v>4</v>
      </c>
      <c r="C457" s="15">
        <v>2</v>
      </c>
      <c r="D457" s="15">
        <v>2</v>
      </c>
      <c r="E457" s="15">
        <v>3211</v>
      </c>
      <c r="F457" s="15">
        <v>1738</v>
      </c>
      <c r="G457" s="15">
        <v>1473</v>
      </c>
    </row>
    <row r="458" spans="1:7" s="1" customFormat="1" ht="10.5" customHeight="1" x14ac:dyDescent="0.25">
      <c r="A458" s="79" t="s">
        <v>48</v>
      </c>
      <c r="B458" s="15">
        <v>15</v>
      </c>
      <c r="C458" s="15">
        <v>8</v>
      </c>
      <c r="D458" s="15">
        <v>7</v>
      </c>
      <c r="E458" s="15">
        <v>5</v>
      </c>
      <c r="F458" s="15">
        <v>5</v>
      </c>
      <c r="G458" s="15">
        <v>0</v>
      </c>
    </row>
    <row r="459" spans="1:7" s="1" customFormat="1" ht="10.5" customHeight="1" x14ac:dyDescent="0.25">
      <c r="A459" s="79" t="s">
        <v>47</v>
      </c>
      <c r="B459" s="15">
        <v>2</v>
      </c>
      <c r="C459" s="15">
        <v>0</v>
      </c>
      <c r="D459" s="15">
        <v>2</v>
      </c>
      <c r="E459" s="15">
        <v>0</v>
      </c>
      <c r="F459" s="15">
        <v>0</v>
      </c>
      <c r="G459" s="15">
        <v>0</v>
      </c>
    </row>
    <row r="460" spans="1:7" s="1" customFormat="1" ht="10.5" customHeight="1" x14ac:dyDescent="0.25">
      <c r="A460" s="79" t="s">
        <v>134</v>
      </c>
      <c r="B460" s="15">
        <v>12</v>
      </c>
      <c r="C460" s="15">
        <v>5</v>
      </c>
      <c r="D460" s="15">
        <v>7</v>
      </c>
      <c r="E460" s="15">
        <v>2</v>
      </c>
      <c r="F460" s="15">
        <v>0</v>
      </c>
      <c r="G460" s="15">
        <v>2</v>
      </c>
    </row>
    <row r="461" spans="1:7" s="1" customFormat="1" ht="10.5" customHeight="1" x14ac:dyDescent="0.25">
      <c r="A461" s="79" t="s">
        <v>46</v>
      </c>
      <c r="B461" s="15">
        <v>0</v>
      </c>
      <c r="C461" s="15">
        <v>0</v>
      </c>
      <c r="D461" s="15">
        <v>0</v>
      </c>
      <c r="E461" s="15">
        <v>0</v>
      </c>
      <c r="F461" s="15">
        <v>0</v>
      </c>
      <c r="G461" s="15">
        <v>0</v>
      </c>
    </row>
    <row r="462" spans="1:7" s="1" customFormat="1" ht="10.5" customHeight="1" x14ac:dyDescent="0.25">
      <c r="A462" s="79" t="s">
        <v>45</v>
      </c>
      <c r="B462" s="15">
        <v>7</v>
      </c>
      <c r="C462" s="15">
        <v>4</v>
      </c>
      <c r="D462" s="15">
        <v>3</v>
      </c>
      <c r="E462" s="15">
        <v>1</v>
      </c>
      <c r="F462" s="15">
        <v>1</v>
      </c>
      <c r="G462" s="15">
        <v>0</v>
      </c>
    </row>
    <row r="463" spans="1:7" s="1" customFormat="1" ht="10.5" customHeight="1" x14ac:dyDescent="0.25">
      <c r="A463" s="79" t="s">
        <v>44</v>
      </c>
      <c r="B463" s="15">
        <v>1</v>
      </c>
      <c r="C463" s="15">
        <v>0</v>
      </c>
      <c r="D463" s="15">
        <v>1</v>
      </c>
      <c r="E463" s="15">
        <v>1</v>
      </c>
      <c r="F463" s="15">
        <v>1</v>
      </c>
      <c r="G463" s="15">
        <v>0</v>
      </c>
    </row>
    <row r="464" spans="1:7" s="1" customFormat="1" ht="10.5" customHeight="1" x14ac:dyDescent="0.25">
      <c r="A464" s="79" t="s">
        <v>131</v>
      </c>
      <c r="B464" s="15">
        <v>4</v>
      </c>
      <c r="C464" s="15">
        <v>2</v>
      </c>
      <c r="D464" s="15">
        <v>2</v>
      </c>
      <c r="E464" s="15">
        <v>4</v>
      </c>
      <c r="F464" s="15">
        <v>4</v>
      </c>
      <c r="G464" s="15">
        <v>0</v>
      </c>
    </row>
    <row r="465" spans="1:7" s="1" customFormat="1" ht="10.5" customHeight="1" x14ac:dyDescent="0.25">
      <c r="A465" s="79" t="s">
        <v>43</v>
      </c>
      <c r="B465" s="15">
        <v>87</v>
      </c>
      <c r="C465" s="15">
        <v>55</v>
      </c>
      <c r="D465" s="15">
        <v>32</v>
      </c>
      <c r="E465" s="15">
        <v>55956</v>
      </c>
      <c r="F465" s="15">
        <v>29371</v>
      </c>
      <c r="G465" s="15">
        <v>26585</v>
      </c>
    </row>
    <row r="466" spans="1:7" s="1" customFormat="1" ht="10.5" customHeight="1" x14ac:dyDescent="0.25">
      <c r="A466" s="79" t="s">
        <v>42</v>
      </c>
      <c r="B466" s="15">
        <v>0</v>
      </c>
      <c r="C466" s="15">
        <v>0</v>
      </c>
      <c r="D466" s="15">
        <v>0</v>
      </c>
      <c r="E466" s="15">
        <v>13</v>
      </c>
      <c r="F466" s="15">
        <v>10</v>
      </c>
      <c r="G466" s="15">
        <v>3</v>
      </c>
    </row>
    <row r="467" spans="1:7" s="1" customFormat="1" ht="10.5" customHeight="1" x14ac:dyDescent="0.25">
      <c r="A467" s="79" t="s">
        <v>41</v>
      </c>
      <c r="B467" s="15">
        <v>2</v>
      </c>
      <c r="C467" s="15">
        <v>2</v>
      </c>
      <c r="D467" s="15">
        <v>0</v>
      </c>
      <c r="E467" s="15">
        <v>102</v>
      </c>
      <c r="F467" s="15">
        <v>55</v>
      </c>
      <c r="G467" s="15">
        <v>47</v>
      </c>
    </row>
    <row r="468" spans="1:7" s="1" customFormat="1" ht="10.5" customHeight="1" x14ac:dyDescent="0.25">
      <c r="A468" s="79" t="s">
        <v>40</v>
      </c>
      <c r="B468" s="15">
        <v>0</v>
      </c>
      <c r="C468" s="15">
        <v>0</v>
      </c>
      <c r="D468" s="15">
        <v>0</v>
      </c>
      <c r="E468" s="15">
        <v>39</v>
      </c>
      <c r="F468" s="15">
        <v>20</v>
      </c>
      <c r="G468" s="15">
        <v>19</v>
      </c>
    </row>
    <row r="469" spans="1:7" s="1" customFormat="1" ht="10.5" customHeight="1" x14ac:dyDescent="0.25">
      <c r="A469" s="79" t="s">
        <v>39</v>
      </c>
      <c r="B469" s="15">
        <v>0</v>
      </c>
      <c r="C469" s="15">
        <v>0</v>
      </c>
      <c r="D469" s="15">
        <v>0</v>
      </c>
      <c r="E469" s="15">
        <v>122</v>
      </c>
      <c r="F469" s="15">
        <v>61</v>
      </c>
      <c r="G469" s="15">
        <v>61</v>
      </c>
    </row>
    <row r="470" spans="1:7" s="1" customFormat="1" ht="10.5" customHeight="1" x14ac:dyDescent="0.25">
      <c r="A470" s="79" t="s">
        <v>38</v>
      </c>
      <c r="B470" s="15">
        <v>0</v>
      </c>
      <c r="C470" s="15">
        <v>0</v>
      </c>
      <c r="D470" s="15">
        <v>0</v>
      </c>
      <c r="E470" s="15">
        <v>18523</v>
      </c>
      <c r="F470" s="15">
        <v>9641</v>
      </c>
      <c r="G470" s="15">
        <v>8882</v>
      </c>
    </row>
    <row r="471" spans="1:7" s="1" customFormat="1" ht="3.75" customHeight="1" thickBot="1" x14ac:dyDescent="0.3">
      <c r="A471" s="117"/>
      <c r="B471" s="118"/>
      <c r="C471" s="118"/>
      <c r="D471" s="118"/>
      <c r="E471" s="118"/>
      <c r="F471" s="118"/>
      <c r="G471" s="118"/>
    </row>
    <row r="472" spans="1:7" s="1" customFormat="1" ht="12.75" x14ac:dyDescent="0.25">
      <c r="A472" s="50"/>
      <c r="B472" s="12"/>
      <c r="C472" s="11"/>
      <c r="D472" s="11"/>
      <c r="E472" s="12"/>
      <c r="F472" s="11"/>
      <c r="G472" s="119" t="s">
        <v>18</v>
      </c>
    </row>
    <row r="473" spans="1:7" ht="12.75" customHeight="1" x14ac:dyDescent="0.2">
      <c r="A473" s="205" t="str">
        <f>A$1</f>
        <v>CUADRO Nº 2.3</v>
      </c>
      <c r="B473" s="205"/>
      <c r="C473" s="205"/>
      <c r="D473" s="205"/>
      <c r="E473" s="205"/>
      <c r="F473" s="205"/>
      <c r="G473" s="205"/>
    </row>
    <row r="474" spans="1:7" ht="20.25" customHeight="1" x14ac:dyDescent="0.2">
      <c r="A474" s="219" t="str">
        <f>A$2</f>
        <v>PERÚ: POBLACIÓN CENSADA INDÍGENA U ORIGINARIA DE LA AMAZONÍA, BLANCA(O), MESTIZA(O) Y OTRA(O) DE 12 Y MÁS AÑOS DE EDAD, POR SEXO, SEGÚN LENGUA O IDIOMA MATERNA APRENDIDA EN LA NIÑEZ, ÁREA DE RESIDENCIA Y DEPARTAMENTO, 2017</v>
      </c>
      <c r="B474" s="219"/>
      <c r="C474" s="219"/>
      <c r="D474" s="219"/>
      <c r="E474" s="219"/>
      <c r="F474" s="219"/>
      <c r="G474" s="219"/>
    </row>
    <row r="475" spans="1:7" customFormat="1" ht="12.75" customHeight="1" x14ac:dyDescent="0.2">
      <c r="A475" s="207" t="str">
        <f>A$3</f>
        <v>(Cifras absolutas)</v>
      </c>
      <c r="B475" s="207"/>
      <c r="C475" s="207"/>
      <c r="D475" s="207"/>
      <c r="E475" s="207"/>
      <c r="F475" s="207"/>
      <c r="G475" s="207"/>
    </row>
    <row r="476" spans="1:7" ht="10.5" customHeight="1" thickBot="1" x14ac:dyDescent="0.25">
      <c r="A476" s="48"/>
      <c r="B476" s="48"/>
      <c r="C476" s="48"/>
      <c r="D476" s="48"/>
      <c r="E476" s="48"/>
      <c r="F476" s="48"/>
      <c r="G476" s="48"/>
    </row>
    <row r="477" spans="1:7" ht="12.75" customHeight="1" thickBot="1" x14ac:dyDescent="0.25">
      <c r="A477" s="220" t="str">
        <f>A$5</f>
        <v>Lengua o idioma materna aprendida en la niñez / Área de residencia y departamento</v>
      </c>
      <c r="B477" s="210" t="str">
        <f>B$5</f>
        <v>Indígena u originaria de la Amazonía</v>
      </c>
      <c r="C477" s="211"/>
      <c r="D477" s="212"/>
      <c r="E477" s="210" t="s">
        <v>116</v>
      </c>
      <c r="F477" s="211"/>
      <c r="G477" s="212"/>
    </row>
    <row r="478" spans="1:7" ht="12.75" customHeight="1" thickBot="1" x14ac:dyDescent="0.25">
      <c r="A478" s="220"/>
      <c r="B478" s="53" t="str">
        <f t="shared" ref="B478:G478" si="7">B$6</f>
        <v>Total</v>
      </c>
      <c r="C478" s="54" t="str">
        <f t="shared" si="7"/>
        <v>Hombre</v>
      </c>
      <c r="D478" s="110" t="str">
        <f t="shared" si="7"/>
        <v>Mujer</v>
      </c>
      <c r="E478" s="54" t="str">
        <f t="shared" si="7"/>
        <v>Total</v>
      </c>
      <c r="F478" s="54" t="str">
        <f t="shared" si="7"/>
        <v>Hombre</v>
      </c>
      <c r="G478" s="110" t="str">
        <f t="shared" si="7"/>
        <v>Mujer</v>
      </c>
    </row>
    <row r="479" spans="1:7" ht="3.75" customHeight="1" x14ac:dyDescent="0.2">
      <c r="A479" s="77"/>
      <c r="B479" s="14"/>
      <c r="C479" s="14"/>
      <c r="D479" s="46"/>
      <c r="E479" s="46"/>
      <c r="F479" s="46"/>
      <c r="G479" s="46"/>
    </row>
    <row r="480" spans="1:7" s="1" customFormat="1" ht="10.5" customHeight="1" x14ac:dyDescent="0.25">
      <c r="A480" s="78" t="s">
        <v>8</v>
      </c>
      <c r="B480" s="61">
        <v>4764</v>
      </c>
      <c r="C480" s="61">
        <v>2351</v>
      </c>
      <c r="D480" s="61">
        <v>2413</v>
      </c>
      <c r="E480" s="61">
        <v>541008</v>
      </c>
      <c r="F480" s="61">
        <v>274725</v>
      </c>
      <c r="G480" s="61">
        <v>266283</v>
      </c>
    </row>
    <row r="481" spans="1:7" s="1" customFormat="1" ht="10.5" customHeight="1" x14ac:dyDescent="0.25">
      <c r="A481" s="79" t="s">
        <v>50</v>
      </c>
      <c r="B481" s="15">
        <v>179</v>
      </c>
      <c r="C481" s="15">
        <v>91</v>
      </c>
      <c r="D481" s="15">
        <v>88</v>
      </c>
      <c r="E481" s="15">
        <v>2063</v>
      </c>
      <c r="F481" s="15">
        <v>1138</v>
      </c>
      <c r="G481" s="15">
        <v>925</v>
      </c>
    </row>
    <row r="482" spans="1:7" s="1" customFormat="1" ht="10.5" customHeight="1" x14ac:dyDescent="0.25">
      <c r="A482" s="79" t="s">
        <v>49</v>
      </c>
      <c r="B482" s="15">
        <v>0</v>
      </c>
      <c r="C482" s="15">
        <v>0</v>
      </c>
      <c r="D482" s="15">
        <v>0</v>
      </c>
      <c r="E482" s="15">
        <v>37</v>
      </c>
      <c r="F482" s="15">
        <v>28</v>
      </c>
      <c r="G482" s="15">
        <v>9</v>
      </c>
    </row>
    <row r="483" spans="1:7" s="1" customFormat="1" ht="10.5" customHeight="1" x14ac:dyDescent="0.25">
      <c r="A483" s="79" t="s">
        <v>48</v>
      </c>
      <c r="B483" s="15">
        <v>12</v>
      </c>
      <c r="C483" s="15">
        <v>5</v>
      </c>
      <c r="D483" s="15">
        <v>7</v>
      </c>
      <c r="E483" s="15">
        <v>7</v>
      </c>
      <c r="F483" s="15">
        <v>5</v>
      </c>
      <c r="G483" s="15">
        <v>2</v>
      </c>
    </row>
    <row r="484" spans="1:7" s="1" customFormat="1" ht="10.5" customHeight="1" x14ac:dyDescent="0.25">
      <c r="A484" s="79" t="s">
        <v>47</v>
      </c>
      <c r="B484" s="15">
        <v>2052</v>
      </c>
      <c r="C484" s="15">
        <v>978</v>
      </c>
      <c r="D484" s="15">
        <v>1074</v>
      </c>
      <c r="E484" s="15">
        <v>47</v>
      </c>
      <c r="F484" s="15">
        <v>17</v>
      </c>
      <c r="G484" s="15">
        <v>30</v>
      </c>
    </row>
    <row r="485" spans="1:7" s="1" customFormat="1" ht="10.5" customHeight="1" x14ac:dyDescent="0.25">
      <c r="A485" s="79" t="s">
        <v>134</v>
      </c>
      <c r="B485" s="15">
        <v>41</v>
      </c>
      <c r="C485" s="15">
        <v>19</v>
      </c>
      <c r="D485" s="15">
        <v>22</v>
      </c>
      <c r="E485" s="15">
        <v>25</v>
      </c>
      <c r="F485" s="15">
        <v>15</v>
      </c>
      <c r="G485" s="15">
        <v>10</v>
      </c>
    </row>
    <row r="486" spans="1:7" s="1" customFormat="1" ht="10.5" customHeight="1" x14ac:dyDescent="0.25">
      <c r="A486" s="79" t="s">
        <v>46</v>
      </c>
      <c r="B486" s="15">
        <v>281</v>
      </c>
      <c r="C486" s="15">
        <v>137</v>
      </c>
      <c r="D486" s="15">
        <v>144</v>
      </c>
      <c r="E486" s="15">
        <v>27</v>
      </c>
      <c r="F486" s="15">
        <v>6</v>
      </c>
      <c r="G486" s="15">
        <v>21</v>
      </c>
    </row>
    <row r="487" spans="1:7" s="1" customFormat="1" ht="10.5" customHeight="1" x14ac:dyDescent="0.25">
      <c r="A487" s="79" t="s">
        <v>45</v>
      </c>
      <c r="B487" s="15">
        <v>3</v>
      </c>
      <c r="C487" s="15">
        <v>1</v>
      </c>
      <c r="D487" s="15">
        <v>2</v>
      </c>
      <c r="E487" s="15">
        <v>9</v>
      </c>
      <c r="F487" s="15">
        <v>5</v>
      </c>
      <c r="G487" s="15">
        <v>4</v>
      </c>
    </row>
    <row r="488" spans="1:7" s="1" customFormat="1" ht="10.5" customHeight="1" x14ac:dyDescent="0.25">
      <c r="A488" s="79" t="s">
        <v>44</v>
      </c>
      <c r="B488" s="15">
        <v>11</v>
      </c>
      <c r="C488" s="15">
        <v>6</v>
      </c>
      <c r="D488" s="15">
        <v>5</v>
      </c>
      <c r="E488" s="15">
        <v>5</v>
      </c>
      <c r="F488" s="15">
        <v>4</v>
      </c>
      <c r="G488" s="15">
        <v>1</v>
      </c>
    </row>
    <row r="489" spans="1:7" s="1" customFormat="1" ht="10.5" customHeight="1" x14ac:dyDescent="0.25">
      <c r="A489" s="79" t="s">
        <v>131</v>
      </c>
      <c r="B489" s="15">
        <v>25</v>
      </c>
      <c r="C489" s="15">
        <v>11</v>
      </c>
      <c r="D489" s="15">
        <v>14</v>
      </c>
      <c r="E489" s="15">
        <v>12</v>
      </c>
      <c r="F489" s="15">
        <v>4</v>
      </c>
      <c r="G489" s="15">
        <v>8</v>
      </c>
    </row>
    <row r="490" spans="1:7" s="1" customFormat="1" ht="10.5" customHeight="1" x14ac:dyDescent="0.25">
      <c r="A490" s="79" t="s">
        <v>43</v>
      </c>
      <c r="B490" s="15">
        <v>2157</v>
      </c>
      <c r="C490" s="15">
        <v>1101</v>
      </c>
      <c r="D490" s="15">
        <v>1056</v>
      </c>
      <c r="E490" s="15">
        <v>536126</v>
      </c>
      <c r="F490" s="15">
        <v>272051</v>
      </c>
      <c r="G490" s="15">
        <v>264075</v>
      </c>
    </row>
    <row r="491" spans="1:7" s="1" customFormat="1" ht="10.5" customHeight="1" x14ac:dyDescent="0.25">
      <c r="A491" s="79" t="s">
        <v>42</v>
      </c>
      <c r="B491" s="15">
        <v>0</v>
      </c>
      <c r="C491" s="15">
        <v>0</v>
      </c>
      <c r="D491" s="15">
        <v>0</v>
      </c>
      <c r="E491" s="15">
        <v>78</v>
      </c>
      <c r="F491" s="15">
        <v>30</v>
      </c>
      <c r="G491" s="15">
        <v>48</v>
      </c>
    </row>
    <row r="492" spans="1:7" s="1" customFormat="1" ht="10.5" customHeight="1" x14ac:dyDescent="0.25">
      <c r="A492" s="79" t="s">
        <v>41</v>
      </c>
      <c r="B492" s="15">
        <v>0</v>
      </c>
      <c r="C492" s="15">
        <v>0</v>
      </c>
      <c r="D492" s="15">
        <v>0</v>
      </c>
      <c r="E492" s="15">
        <v>267</v>
      </c>
      <c r="F492" s="15">
        <v>164</v>
      </c>
      <c r="G492" s="15">
        <v>103</v>
      </c>
    </row>
    <row r="493" spans="1:7" s="1" customFormat="1" ht="10.5" customHeight="1" x14ac:dyDescent="0.25">
      <c r="A493" s="79" t="s">
        <v>40</v>
      </c>
      <c r="B493" s="15">
        <v>2</v>
      </c>
      <c r="C493" s="15">
        <v>1</v>
      </c>
      <c r="D493" s="15">
        <v>1</v>
      </c>
      <c r="E493" s="15">
        <v>275</v>
      </c>
      <c r="F493" s="15">
        <v>147</v>
      </c>
      <c r="G493" s="15">
        <v>128</v>
      </c>
    </row>
    <row r="494" spans="1:7" s="1" customFormat="1" ht="10.5" customHeight="1" x14ac:dyDescent="0.25">
      <c r="A494" s="79" t="s">
        <v>39</v>
      </c>
      <c r="B494" s="15">
        <v>1</v>
      </c>
      <c r="C494" s="15">
        <v>1</v>
      </c>
      <c r="D494" s="15">
        <v>0</v>
      </c>
      <c r="E494" s="15">
        <v>826</v>
      </c>
      <c r="F494" s="15">
        <v>437</v>
      </c>
      <c r="G494" s="15">
        <v>389</v>
      </c>
    </row>
    <row r="495" spans="1:7" s="1" customFormat="1" ht="10.5" customHeight="1" x14ac:dyDescent="0.25">
      <c r="A495" s="79" t="s">
        <v>38</v>
      </c>
      <c r="B495" s="15">
        <v>0</v>
      </c>
      <c r="C495" s="15">
        <v>0</v>
      </c>
      <c r="D495" s="15">
        <v>0</v>
      </c>
      <c r="E495" s="15">
        <v>1204</v>
      </c>
      <c r="F495" s="15">
        <v>674</v>
      </c>
      <c r="G495" s="15">
        <v>530</v>
      </c>
    </row>
    <row r="496" spans="1:7" s="1" customFormat="1" ht="10.5" customHeight="1" x14ac:dyDescent="0.25">
      <c r="A496" s="79"/>
      <c r="B496" s="114"/>
      <c r="C496" s="114"/>
      <c r="D496" s="114"/>
      <c r="E496" s="114"/>
      <c r="F496" s="114"/>
      <c r="G496" s="114"/>
    </row>
    <row r="497" spans="1:7" s="1" customFormat="1" ht="10.5" customHeight="1" x14ac:dyDescent="0.25">
      <c r="A497" s="78" t="s">
        <v>7</v>
      </c>
      <c r="B497" s="61">
        <v>248</v>
      </c>
      <c r="C497" s="61">
        <v>132</v>
      </c>
      <c r="D497" s="61">
        <v>116</v>
      </c>
      <c r="E497" s="61">
        <v>155775</v>
      </c>
      <c r="F497" s="61">
        <v>77169</v>
      </c>
      <c r="G497" s="61">
        <v>78606</v>
      </c>
    </row>
    <row r="498" spans="1:7" s="1" customFormat="1" ht="10.5" customHeight="1" x14ac:dyDescent="0.25">
      <c r="A498" s="79" t="s">
        <v>50</v>
      </c>
      <c r="B498" s="15">
        <v>2</v>
      </c>
      <c r="C498" s="15">
        <v>1</v>
      </c>
      <c r="D498" s="15">
        <v>1</v>
      </c>
      <c r="E498" s="15">
        <v>1970</v>
      </c>
      <c r="F498" s="15">
        <v>1025</v>
      </c>
      <c r="G498" s="15">
        <v>945</v>
      </c>
    </row>
    <row r="499" spans="1:7" s="1" customFormat="1" ht="10.5" customHeight="1" x14ac:dyDescent="0.25">
      <c r="A499" s="79" t="s">
        <v>49</v>
      </c>
      <c r="B499" s="15">
        <v>3</v>
      </c>
      <c r="C499" s="15">
        <v>1</v>
      </c>
      <c r="D499" s="15">
        <v>2</v>
      </c>
      <c r="E499" s="15">
        <v>7764</v>
      </c>
      <c r="F499" s="15">
        <v>3943</v>
      </c>
      <c r="G499" s="15">
        <v>3821</v>
      </c>
    </row>
    <row r="500" spans="1:7" s="1" customFormat="1" ht="10.5" customHeight="1" x14ac:dyDescent="0.25">
      <c r="A500" s="79" t="s">
        <v>48</v>
      </c>
      <c r="B500" s="15">
        <v>11</v>
      </c>
      <c r="C500" s="15">
        <v>9</v>
      </c>
      <c r="D500" s="15">
        <v>2</v>
      </c>
      <c r="E500" s="15">
        <v>11</v>
      </c>
      <c r="F500" s="15">
        <v>6</v>
      </c>
      <c r="G500" s="15">
        <v>5</v>
      </c>
    </row>
    <row r="501" spans="1:7" s="1" customFormat="1" ht="10.5" customHeight="1" x14ac:dyDescent="0.25">
      <c r="A501" s="79" t="s">
        <v>47</v>
      </c>
      <c r="B501" s="15">
        <v>2</v>
      </c>
      <c r="C501" s="15">
        <v>0</v>
      </c>
      <c r="D501" s="15">
        <v>2</v>
      </c>
      <c r="E501" s="15">
        <v>1</v>
      </c>
      <c r="F501" s="15">
        <v>1</v>
      </c>
      <c r="G501" s="15">
        <v>0</v>
      </c>
    </row>
    <row r="502" spans="1:7" s="1" customFormat="1" ht="10.5" customHeight="1" x14ac:dyDescent="0.25">
      <c r="A502" s="79" t="s">
        <v>134</v>
      </c>
      <c r="B502" s="15">
        <v>20</v>
      </c>
      <c r="C502" s="15">
        <v>13</v>
      </c>
      <c r="D502" s="15">
        <v>7</v>
      </c>
      <c r="E502" s="15">
        <v>13</v>
      </c>
      <c r="F502" s="15">
        <v>7</v>
      </c>
      <c r="G502" s="15">
        <v>6</v>
      </c>
    </row>
    <row r="503" spans="1:7" s="1" customFormat="1" ht="10.5" customHeight="1" x14ac:dyDescent="0.25">
      <c r="A503" s="79" t="s">
        <v>46</v>
      </c>
      <c r="B503" s="15">
        <v>1</v>
      </c>
      <c r="C503" s="15">
        <v>1</v>
      </c>
      <c r="D503" s="15">
        <v>0</v>
      </c>
      <c r="E503" s="15">
        <v>1</v>
      </c>
      <c r="F503" s="15">
        <v>1</v>
      </c>
      <c r="G503" s="15">
        <v>0</v>
      </c>
    </row>
    <row r="504" spans="1:7" s="1" customFormat="1" ht="10.5" customHeight="1" x14ac:dyDescent="0.25">
      <c r="A504" s="79" t="s">
        <v>45</v>
      </c>
      <c r="B504" s="15">
        <v>2</v>
      </c>
      <c r="C504" s="15">
        <v>1</v>
      </c>
      <c r="D504" s="15">
        <v>1</v>
      </c>
      <c r="E504" s="15">
        <v>2</v>
      </c>
      <c r="F504" s="15">
        <v>2</v>
      </c>
      <c r="G504" s="15">
        <v>0</v>
      </c>
    </row>
    <row r="505" spans="1:7" s="1" customFormat="1" ht="10.5" customHeight="1" x14ac:dyDescent="0.25">
      <c r="A505" s="79" t="s">
        <v>44</v>
      </c>
      <c r="B505" s="15">
        <v>0</v>
      </c>
      <c r="C505" s="15">
        <v>0</v>
      </c>
      <c r="D505" s="15">
        <v>0</v>
      </c>
      <c r="E505" s="15">
        <v>0</v>
      </c>
      <c r="F505" s="15">
        <v>0</v>
      </c>
      <c r="G505" s="15">
        <v>0</v>
      </c>
    </row>
    <row r="506" spans="1:7" s="1" customFormat="1" ht="10.5" customHeight="1" x14ac:dyDescent="0.25">
      <c r="A506" s="79" t="s">
        <v>131</v>
      </c>
      <c r="B506" s="15">
        <v>4</v>
      </c>
      <c r="C506" s="15">
        <v>3</v>
      </c>
      <c r="D506" s="15">
        <v>1</v>
      </c>
      <c r="E506" s="15">
        <v>3</v>
      </c>
      <c r="F506" s="15">
        <v>3</v>
      </c>
      <c r="G506" s="15">
        <v>0</v>
      </c>
    </row>
    <row r="507" spans="1:7" s="1" customFormat="1" ht="10.5" customHeight="1" x14ac:dyDescent="0.25">
      <c r="A507" s="79" t="s">
        <v>43</v>
      </c>
      <c r="B507" s="15">
        <v>203</v>
      </c>
      <c r="C507" s="15">
        <v>103</v>
      </c>
      <c r="D507" s="15">
        <v>100</v>
      </c>
      <c r="E507" s="15">
        <v>140225</v>
      </c>
      <c r="F507" s="15">
        <v>69026</v>
      </c>
      <c r="G507" s="15">
        <v>71199</v>
      </c>
    </row>
    <row r="508" spans="1:7" s="1" customFormat="1" ht="10.5" customHeight="1" x14ac:dyDescent="0.25">
      <c r="A508" s="79" t="s">
        <v>42</v>
      </c>
      <c r="B508" s="15">
        <v>0</v>
      </c>
      <c r="C508" s="15">
        <v>0</v>
      </c>
      <c r="D508" s="15">
        <v>0</v>
      </c>
      <c r="E508" s="15">
        <v>39</v>
      </c>
      <c r="F508" s="15">
        <v>23</v>
      </c>
      <c r="G508" s="15">
        <v>16</v>
      </c>
    </row>
    <row r="509" spans="1:7" s="1" customFormat="1" ht="10.5" customHeight="1" x14ac:dyDescent="0.25">
      <c r="A509" s="79" t="s">
        <v>41</v>
      </c>
      <c r="B509" s="15">
        <v>0</v>
      </c>
      <c r="C509" s="15">
        <v>0</v>
      </c>
      <c r="D509" s="15">
        <v>0</v>
      </c>
      <c r="E509" s="15">
        <v>223</v>
      </c>
      <c r="F509" s="15">
        <v>135</v>
      </c>
      <c r="G509" s="15">
        <v>88</v>
      </c>
    </row>
    <row r="510" spans="1:7" s="1" customFormat="1" ht="10.5" customHeight="1" x14ac:dyDescent="0.25">
      <c r="A510" s="79" t="s">
        <v>40</v>
      </c>
      <c r="B510" s="15">
        <v>0</v>
      </c>
      <c r="C510" s="15">
        <v>0</v>
      </c>
      <c r="D510" s="15">
        <v>0</v>
      </c>
      <c r="E510" s="15">
        <v>65</v>
      </c>
      <c r="F510" s="15">
        <v>30</v>
      </c>
      <c r="G510" s="15">
        <v>35</v>
      </c>
    </row>
    <row r="511" spans="1:7" s="1" customFormat="1" ht="10.5" customHeight="1" x14ac:dyDescent="0.25">
      <c r="A511" s="79" t="s">
        <v>39</v>
      </c>
      <c r="B511" s="15">
        <v>0</v>
      </c>
      <c r="C511" s="15">
        <v>0</v>
      </c>
      <c r="D511" s="15">
        <v>0</v>
      </c>
      <c r="E511" s="15">
        <v>121</v>
      </c>
      <c r="F511" s="15">
        <v>69</v>
      </c>
      <c r="G511" s="15">
        <v>52</v>
      </c>
    </row>
    <row r="512" spans="1:7" s="1" customFormat="1" ht="10.5" customHeight="1" x14ac:dyDescent="0.25">
      <c r="A512" s="79" t="s">
        <v>38</v>
      </c>
      <c r="B512" s="15">
        <v>0</v>
      </c>
      <c r="C512" s="15">
        <v>0</v>
      </c>
      <c r="D512" s="15">
        <v>0</v>
      </c>
      <c r="E512" s="15">
        <v>5337</v>
      </c>
      <c r="F512" s="15">
        <v>2898</v>
      </c>
      <c r="G512" s="15">
        <v>2439</v>
      </c>
    </row>
    <row r="513" spans="1:7" s="1" customFormat="1" ht="10.5" customHeight="1" x14ac:dyDescent="0.25">
      <c r="A513" s="79"/>
      <c r="B513" s="114"/>
      <c r="C513" s="114"/>
      <c r="D513" s="114"/>
      <c r="E513" s="114"/>
      <c r="F513" s="114"/>
      <c r="G513" s="114"/>
    </row>
    <row r="514" spans="1:7" s="1" customFormat="1" ht="10.5" customHeight="1" x14ac:dyDescent="0.25">
      <c r="A514" s="78" t="s">
        <v>6</v>
      </c>
      <c r="B514" s="61">
        <v>114</v>
      </c>
      <c r="C514" s="61">
        <v>77</v>
      </c>
      <c r="D514" s="61">
        <v>37</v>
      </c>
      <c r="E514" s="61">
        <v>147990</v>
      </c>
      <c r="F514" s="61">
        <v>73395</v>
      </c>
      <c r="G514" s="61">
        <v>74595</v>
      </c>
    </row>
    <row r="515" spans="1:7" s="1" customFormat="1" ht="10.5" customHeight="1" x14ac:dyDescent="0.25">
      <c r="A515" s="79" t="s">
        <v>50</v>
      </c>
      <c r="B515" s="15">
        <v>0</v>
      </c>
      <c r="C515" s="15">
        <v>0</v>
      </c>
      <c r="D515" s="15">
        <v>0</v>
      </c>
      <c r="E515" s="15">
        <v>210</v>
      </c>
      <c r="F515" s="15">
        <v>134</v>
      </c>
      <c r="G515" s="15">
        <v>76</v>
      </c>
    </row>
    <row r="516" spans="1:7" s="1" customFormat="1" ht="10.5" customHeight="1" x14ac:dyDescent="0.25">
      <c r="A516" s="79" t="s">
        <v>49</v>
      </c>
      <c r="B516" s="15">
        <v>0</v>
      </c>
      <c r="C516" s="15">
        <v>0</v>
      </c>
      <c r="D516" s="15">
        <v>0</v>
      </c>
      <c r="E516" s="15">
        <v>12</v>
      </c>
      <c r="F516" s="15">
        <v>6</v>
      </c>
      <c r="G516" s="15">
        <v>6</v>
      </c>
    </row>
    <row r="517" spans="1:7" s="1" customFormat="1" ht="10.5" customHeight="1" x14ac:dyDescent="0.25">
      <c r="A517" s="79" t="s">
        <v>48</v>
      </c>
      <c r="B517" s="15">
        <v>5</v>
      </c>
      <c r="C517" s="15">
        <v>5</v>
      </c>
      <c r="D517" s="15">
        <v>0</v>
      </c>
      <c r="E517" s="15">
        <v>2</v>
      </c>
      <c r="F517" s="15">
        <v>2</v>
      </c>
      <c r="G517" s="15">
        <v>0</v>
      </c>
    </row>
    <row r="518" spans="1:7" s="1" customFormat="1" ht="10.5" customHeight="1" x14ac:dyDescent="0.25">
      <c r="A518" s="79" t="s">
        <v>47</v>
      </c>
      <c r="B518" s="15">
        <v>25</v>
      </c>
      <c r="C518" s="15">
        <v>18</v>
      </c>
      <c r="D518" s="15">
        <v>7</v>
      </c>
      <c r="E518" s="15">
        <v>15</v>
      </c>
      <c r="F518" s="15">
        <v>14</v>
      </c>
      <c r="G518" s="15">
        <v>1</v>
      </c>
    </row>
    <row r="519" spans="1:7" s="1" customFormat="1" ht="10.5" customHeight="1" x14ac:dyDescent="0.25">
      <c r="A519" s="79" t="s">
        <v>134</v>
      </c>
      <c r="B519" s="15">
        <v>1</v>
      </c>
      <c r="C519" s="15">
        <v>1</v>
      </c>
      <c r="D519" s="15">
        <v>0</v>
      </c>
      <c r="E519" s="15">
        <v>3</v>
      </c>
      <c r="F519" s="15">
        <v>1</v>
      </c>
      <c r="G519" s="15">
        <v>2</v>
      </c>
    </row>
    <row r="520" spans="1:7" s="1" customFormat="1" ht="10.5" customHeight="1" x14ac:dyDescent="0.25">
      <c r="A520" s="79" t="s">
        <v>46</v>
      </c>
      <c r="B520" s="15">
        <v>2</v>
      </c>
      <c r="C520" s="15">
        <v>2</v>
      </c>
      <c r="D520" s="15">
        <v>0</v>
      </c>
      <c r="E520" s="15">
        <v>4</v>
      </c>
      <c r="F520" s="15">
        <v>3</v>
      </c>
      <c r="G520" s="15">
        <v>1</v>
      </c>
    </row>
    <row r="521" spans="1:7" s="1" customFormat="1" ht="10.5" customHeight="1" x14ac:dyDescent="0.25">
      <c r="A521" s="79" t="s">
        <v>45</v>
      </c>
      <c r="B521" s="15">
        <v>0</v>
      </c>
      <c r="C521" s="15">
        <v>0</v>
      </c>
      <c r="D521" s="15">
        <v>0</v>
      </c>
      <c r="E521" s="15">
        <v>7</v>
      </c>
      <c r="F521" s="15">
        <v>1</v>
      </c>
      <c r="G521" s="15">
        <v>6</v>
      </c>
    </row>
    <row r="522" spans="1:7" s="1" customFormat="1" ht="10.5" customHeight="1" x14ac:dyDescent="0.25">
      <c r="A522" s="79" t="s">
        <v>44</v>
      </c>
      <c r="B522" s="15">
        <v>4</v>
      </c>
      <c r="C522" s="15">
        <v>4</v>
      </c>
      <c r="D522" s="15">
        <v>0</v>
      </c>
      <c r="E522" s="15">
        <v>1</v>
      </c>
      <c r="F522" s="15">
        <v>0</v>
      </c>
      <c r="G522" s="15">
        <v>1</v>
      </c>
    </row>
    <row r="523" spans="1:7" s="1" customFormat="1" ht="10.5" customHeight="1" x14ac:dyDescent="0.25">
      <c r="A523" s="79" t="s">
        <v>131</v>
      </c>
      <c r="B523" s="15">
        <v>1</v>
      </c>
      <c r="C523" s="15">
        <v>1</v>
      </c>
      <c r="D523" s="15">
        <v>0</v>
      </c>
      <c r="E523" s="15">
        <v>3</v>
      </c>
      <c r="F523" s="15">
        <v>2</v>
      </c>
      <c r="G523" s="15">
        <v>1</v>
      </c>
    </row>
    <row r="524" spans="1:7" s="1" customFormat="1" ht="10.5" customHeight="1" x14ac:dyDescent="0.25">
      <c r="A524" s="79" t="s">
        <v>43</v>
      </c>
      <c r="B524" s="15">
        <v>75</v>
      </c>
      <c r="C524" s="15">
        <v>46</v>
      </c>
      <c r="D524" s="15">
        <v>29</v>
      </c>
      <c r="E524" s="15">
        <v>146806</v>
      </c>
      <c r="F524" s="15">
        <v>72720</v>
      </c>
      <c r="G524" s="15">
        <v>74086</v>
      </c>
    </row>
    <row r="525" spans="1:7" s="1" customFormat="1" ht="10.5" customHeight="1" x14ac:dyDescent="0.25">
      <c r="A525" s="79" t="s">
        <v>42</v>
      </c>
      <c r="B525" s="15">
        <v>0</v>
      </c>
      <c r="C525" s="15">
        <v>0</v>
      </c>
      <c r="D525" s="15">
        <v>0</v>
      </c>
      <c r="E525" s="15">
        <v>26</v>
      </c>
      <c r="F525" s="15">
        <v>13</v>
      </c>
      <c r="G525" s="15">
        <v>13</v>
      </c>
    </row>
    <row r="526" spans="1:7" s="1" customFormat="1" ht="10.5" customHeight="1" x14ac:dyDescent="0.25">
      <c r="A526" s="79" t="s">
        <v>41</v>
      </c>
      <c r="B526" s="15">
        <v>1</v>
      </c>
      <c r="C526" s="15">
        <v>0</v>
      </c>
      <c r="D526" s="15">
        <v>1</v>
      </c>
      <c r="E526" s="15">
        <v>91</v>
      </c>
      <c r="F526" s="15">
        <v>57</v>
      </c>
      <c r="G526" s="15">
        <v>34</v>
      </c>
    </row>
    <row r="527" spans="1:7" s="1" customFormat="1" ht="10.5" customHeight="1" x14ac:dyDescent="0.25">
      <c r="A527" s="79" t="s">
        <v>40</v>
      </c>
      <c r="B527" s="15">
        <v>0</v>
      </c>
      <c r="C527" s="15">
        <v>0</v>
      </c>
      <c r="D527" s="15">
        <v>0</v>
      </c>
      <c r="E527" s="15">
        <v>78</v>
      </c>
      <c r="F527" s="15">
        <v>43</v>
      </c>
      <c r="G527" s="15">
        <v>35</v>
      </c>
    </row>
    <row r="528" spans="1:7" s="1" customFormat="1" ht="10.5" customHeight="1" x14ac:dyDescent="0.25">
      <c r="A528" s="79" t="s">
        <v>39</v>
      </c>
      <c r="B528" s="15">
        <v>0</v>
      </c>
      <c r="C528" s="15">
        <v>0</v>
      </c>
      <c r="D528" s="15">
        <v>0</v>
      </c>
      <c r="E528" s="15">
        <v>186</v>
      </c>
      <c r="F528" s="15">
        <v>109</v>
      </c>
      <c r="G528" s="15">
        <v>77</v>
      </c>
    </row>
    <row r="529" spans="1:7" s="1" customFormat="1" ht="10.5" customHeight="1" x14ac:dyDescent="0.25">
      <c r="A529" s="79" t="s">
        <v>38</v>
      </c>
      <c r="B529" s="15">
        <v>0</v>
      </c>
      <c r="C529" s="15">
        <v>0</v>
      </c>
      <c r="D529" s="15">
        <v>0</v>
      </c>
      <c r="E529" s="15">
        <v>546</v>
      </c>
      <c r="F529" s="15">
        <v>290</v>
      </c>
      <c r="G529" s="15">
        <v>256</v>
      </c>
    </row>
    <row r="530" spans="1:7" s="1" customFormat="1" ht="3.75" customHeight="1" thickBot="1" x14ac:dyDescent="0.3">
      <c r="A530" s="117"/>
      <c r="B530" s="118"/>
      <c r="C530" s="118"/>
      <c r="D530" s="118"/>
      <c r="E530" s="118"/>
      <c r="F530" s="118"/>
      <c r="G530" s="118"/>
    </row>
    <row r="531" spans="1:7" s="1" customFormat="1" ht="12.75" x14ac:dyDescent="0.25">
      <c r="A531" s="50"/>
      <c r="B531" s="12"/>
      <c r="C531" s="11"/>
      <c r="D531" s="11"/>
      <c r="E531" s="12"/>
      <c r="F531" s="11"/>
      <c r="G531" s="119" t="s">
        <v>18</v>
      </c>
    </row>
    <row r="532" spans="1:7" ht="12.75" customHeight="1" x14ac:dyDescent="0.2">
      <c r="A532" s="205" t="str">
        <f>A$1</f>
        <v>CUADRO Nº 2.3</v>
      </c>
      <c r="B532" s="205"/>
      <c r="C532" s="205"/>
      <c r="D532" s="205"/>
      <c r="E532" s="205"/>
      <c r="F532" s="205"/>
      <c r="G532" s="205"/>
    </row>
    <row r="533" spans="1:7" ht="20.25" customHeight="1" x14ac:dyDescent="0.2">
      <c r="A533" s="219" t="str">
        <f>A$2</f>
        <v>PERÚ: POBLACIÓN CENSADA INDÍGENA U ORIGINARIA DE LA AMAZONÍA, BLANCA(O), MESTIZA(O) Y OTRA(O) DE 12 Y MÁS AÑOS DE EDAD, POR SEXO, SEGÚN LENGUA O IDIOMA MATERNA APRENDIDA EN LA NIÑEZ, ÁREA DE RESIDENCIA Y DEPARTAMENTO, 2017</v>
      </c>
      <c r="B533" s="219"/>
      <c r="C533" s="219"/>
      <c r="D533" s="219"/>
      <c r="E533" s="219"/>
      <c r="F533" s="219"/>
      <c r="G533" s="219"/>
    </row>
    <row r="534" spans="1:7" customFormat="1" ht="12.75" customHeight="1" x14ac:dyDescent="0.2">
      <c r="A534" s="207" t="str">
        <f>A$3</f>
        <v>(Cifras absolutas)</v>
      </c>
      <c r="B534" s="207"/>
      <c r="C534" s="207"/>
      <c r="D534" s="207"/>
      <c r="E534" s="207"/>
      <c r="F534" s="207"/>
      <c r="G534" s="207"/>
    </row>
    <row r="535" spans="1:7" ht="10.5" customHeight="1" thickBot="1" x14ac:dyDescent="0.25">
      <c r="A535" s="48"/>
      <c r="B535" s="48"/>
      <c r="C535" s="48"/>
      <c r="D535" s="48"/>
      <c r="E535" s="48"/>
      <c r="F535" s="48"/>
      <c r="G535" s="6" t="s">
        <v>16</v>
      </c>
    </row>
    <row r="536" spans="1:7" ht="12.75" customHeight="1" thickBot="1" x14ac:dyDescent="0.25">
      <c r="A536" s="220" t="str">
        <f>A$5</f>
        <v>Lengua o idioma materna aprendida en la niñez / Área de residencia y departamento</v>
      </c>
      <c r="B536" s="210" t="str">
        <f>B$5</f>
        <v>Indígena u originaria de la Amazonía</v>
      </c>
      <c r="C536" s="211"/>
      <c r="D536" s="212"/>
      <c r="E536" s="210" t="s">
        <v>116</v>
      </c>
      <c r="F536" s="211"/>
      <c r="G536" s="212"/>
    </row>
    <row r="537" spans="1:7" ht="12.75" customHeight="1" thickBot="1" x14ac:dyDescent="0.25">
      <c r="A537" s="220"/>
      <c r="B537" s="53" t="str">
        <f t="shared" ref="B537:G537" si="8">B$6</f>
        <v>Total</v>
      </c>
      <c r="C537" s="54" t="str">
        <f t="shared" si="8"/>
        <v>Hombre</v>
      </c>
      <c r="D537" s="110" t="str">
        <f t="shared" si="8"/>
        <v>Mujer</v>
      </c>
      <c r="E537" s="54" t="str">
        <f t="shared" si="8"/>
        <v>Total</v>
      </c>
      <c r="F537" s="54" t="str">
        <f t="shared" si="8"/>
        <v>Hombre</v>
      </c>
      <c r="G537" s="110" t="str">
        <f t="shared" si="8"/>
        <v>Mujer</v>
      </c>
    </row>
    <row r="538" spans="1:7" ht="3.75" customHeight="1" x14ac:dyDescent="0.2">
      <c r="A538" s="77"/>
      <c r="B538" s="14"/>
      <c r="C538" s="14"/>
      <c r="D538" s="46"/>
      <c r="E538" s="46"/>
      <c r="F538" s="46"/>
      <c r="G538" s="46"/>
    </row>
    <row r="539" spans="1:7" s="1" customFormat="1" ht="10.5" customHeight="1" x14ac:dyDescent="0.25">
      <c r="A539" s="78" t="s">
        <v>5</v>
      </c>
      <c r="B539" s="61">
        <v>36774</v>
      </c>
      <c r="C539" s="61">
        <v>17978</v>
      </c>
      <c r="D539" s="61">
        <v>18796</v>
      </c>
      <c r="E539" s="61">
        <v>293650</v>
      </c>
      <c r="F539" s="61">
        <v>147011</v>
      </c>
      <c r="G539" s="61">
        <v>146639</v>
      </c>
    </row>
    <row r="540" spans="1:7" s="1" customFormat="1" ht="10.5" customHeight="1" x14ac:dyDescent="0.25">
      <c r="A540" s="79" t="s">
        <v>50</v>
      </c>
      <c r="B540" s="15">
        <v>28</v>
      </c>
      <c r="C540" s="15">
        <v>17</v>
      </c>
      <c r="D540" s="15">
        <v>11</v>
      </c>
      <c r="E540" s="15">
        <v>3237</v>
      </c>
      <c r="F540" s="15">
        <v>1905</v>
      </c>
      <c r="G540" s="15">
        <v>1332</v>
      </c>
    </row>
    <row r="541" spans="1:7" s="1" customFormat="1" ht="10.5" customHeight="1" x14ac:dyDescent="0.25">
      <c r="A541" s="79" t="s">
        <v>49</v>
      </c>
      <c r="B541" s="15">
        <v>16</v>
      </c>
      <c r="C541" s="15">
        <v>11</v>
      </c>
      <c r="D541" s="15">
        <v>5</v>
      </c>
      <c r="E541" s="15">
        <v>59</v>
      </c>
      <c r="F541" s="15">
        <v>30</v>
      </c>
      <c r="G541" s="15">
        <v>29</v>
      </c>
    </row>
    <row r="542" spans="1:7" s="1" customFormat="1" ht="10.5" customHeight="1" x14ac:dyDescent="0.25">
      <c r="A542" s="79" t="s">
        <v>48</v>
      </c>
      <c r="B542" s="15">
        <v>12744</v>
      </c>
      <c r="C542" s="15">
        <v>6198</v>
      </c>
      <c r="D542" s="15">
        <v>6546</v>
      </c>
      <c r="E542" s="15">
        <v>384</v>
      </c>
      <c r="F542" s="15">
        <v>172</v>
      </c>
      <c r="G542" s="15">
        <v>212</v>
      </c>
    </row>
    <row r="543" spans="1:7" s="1" customFormat="1" ht="10.5" customHeight="1" x14ac:dyDescent="0.25">
      <c r="A543" s="79" t="s">
        <v>47</v>
      </c>
      <c r="B543" s="15">
        <v>130</v>
      </c>
      <c r="C543" s="15">
        <v>84</v>
      </c>
      <c r="D543" s="15">
        <v>46</v>
      </c>
      <c r="E543" s="15">
        <v>19</v>
      </c>
      <c r="F543" s="15">
        <v>11</v>
      </c>
      <c r="G543" s="15">
        <v>8</v>
      </c>
    </row>
    <row r="544" spans="1:7" s="1" customFormat="1" ht="10.5" customHeight="1" x14ac:dyDescent="0.25">
      <c r="A544" s="79" t="s">
        <v>134</v>
      </c>
      <c r="B544" s="15">
        <v>16070</v>
      </c>
      <c r="C544" s="15">
        <v>7837</v>
      </c>
      <c r="D544" s="15">
        <v>8233</v>
      </c>
      <c r="E544" s="15">
        <v>699</v>
      </c>
      <c r="F544" s="15">
        <v>337</v>
      </c>
      <c r="G544" s="15">
        <v>362</v>
      </c>
    </row>
    <row r="545" spans="1:7" s="1" customFormat="1" ht="10.5" customHeight="1" x14ac:dyDescent="0.25">
      <c r="A545" s="79" t="s">
        <v>46</v>
      </c>
      <c r="B545" s="15">
        <v>54</v>
      </c>
      <c r="C545" s="15">
        <v>28</v>
      </c>
      <c r="D545" s="15">
        <v>26</v>
      </c>
      <c r="E545" s="15">
        <v>10</v>
      </c>
      <c r="F545" s="15">
        <v>7</v>
      </c>
      <c r="G545" s="15">
        <v>3</v>
      </c>
    </row>
    <row r="546" spans="1:7" s="1" customFormat="1" ht="10.5" customHeight="1" x14ac:dyDescent="0.25">
      <c r="A546" s="79" t="s">
        <v>45</v>
      </c>
      <c r="B546" s="15">
        <v>302</v>
      </c>
      <c r="C546" s="15">
        <v>135</v>
      </c>
      <c r="D546" s="15">
        <v>167</v>
      </c>
      <c r="E546" s="15">
        <v>15</v>
      </c>
      <c r="F546" s="15">
        <v>6</v>
      </c>
      <c r="G546" s="15">
        <v>9</v>
      </c>
    </row>
    <row r="547" spans="1:7" s="1" customFormat="1" ht="10.5" customHeight="1" x14ac:dyDescent="0.25">
      <c r="A547" s="79" t="s">
        <v>44</v>
      </c>
      <c r="B547" s="15">
        <v>15</v>
      </c>
      <c r="C547" s="15">
        <v>12</v>
      </c>
      <c r="D547" s="15">
        <v>3</v>
      </c>
      <c r="E547" s="15">
        <v>5</v>
      </c>
      <c r="F547" s="15">
        <v>4</v>
      </c>
      <c r="G547" s="15">
        <v>1</v>
      </c>
    </row>
    <row r="548" spans="1:7" s="1" customFormat="1" ht="10.5" customHeight="1" x14ac:dyDescent="0.25">
      <c r="A548" s="79" t="s">
        <v>131</v>
      </c>
      <c r="B548" s="15">
        <v>4501</v>
      </c>
      <c r="C548" s="15">
        <v>2202</v>
      </c>
      <c r="D548" s="15">
        <v>2299</v>
      </c>
      <c r="E548" s="15">
        <v>210</v>
      </c>
      <c r="F548" s="15">
        <v>99</v>
      </c>
      <c r="G548" s="15">
        <v>111</v>
      </c>
    </row>
    <row r="549" spans="1:7" s="1" customFormat="1" ht="10.5" customHeight="1" x14ac:dyDescent="0.25">
      <c r="A549" s="79" t="s">
        <v>43</v>
      </c>
      <c r="B549" s="15">
        <v>2880</v>
      </c>
      <c r="C549" s="15">
        <v>1437</v>
      </c>
      <c r="D549" s="15">
        <v>1443</v>
      </c>
      <c r="E549" s="15">
        <v>285772</v>
      </c>
      <c r="F549" s="15">
        <v>142734</v>
      </c>
      <c r="G549" s="15">
        <v>143038</v>
      </c>
    </row>
    <row r="550" spans="1:7" s="1" customFormat="1" ht="10.5" customHeight="1" x14ac:dyDescent="0.25">
      <c r="A550" s="79" t="s">
        <v>42</v>
      </c>
      <c r="B550" s="15">
        <v>6</v>
      </c>
      <c r="C550" s="15">
        <v>3</v>
      </c>
      <c r="D550" s="15">
        <v>3</v>
      </c>
      <c r="E550" s="15">
        <v>217</v>
      </c>
      <c r="F550" s="15">
        <v>87</v>
      </c>
      <c r="G550" s="15">
        <v>130</v>
      </c>
    </row>
    <row r="551" spans="1:7" s="1" customFormat="1" ht="10.5" customHeight="1" x14ac:dyDescent="0.25">
      <c r="A551" s="79" t="s">
        <v>41</v>
      </c>
      <c r="B551" s="15">
        <v>10</v>
      </c>
      <c r="C551" s="15">
        <v>5</v>
      </c>
      <c r="D551" s="15">
        <v>5</v>
      </c>
      <c r="E551" s="15">
        <v>475</v>
      </c>
      <c r="F551" s="15">
        <v>269</v>
      </c>
      <c r="G551" s="15">
        <v>206</v>
      </c>
    </row>
    <row r="552" spans="1:7" s="1" customFormat="1" ht="10.5" customHeight="1" x14ac:dyDescent="0.25">
      <c r="A552" s="79" t="s">
        <v>40</v>
      </c>
      <c r="B552" s="15">
        <v>6</v>
      </c>
      <c r="C552" s="15">
        <v>3</v>
      </c>
      <c r="D552" s="15">
        <v>3</v>
      </c>
      <c r="E552" s="15">
        <v>126</v>
      </c>
      <c r="F552" s="15">
        <v>60</v>
      </c>
      <c r="G552" s="15">
        <v>66</v>
      </c>
    </row>
    <row r="553" spans="1:7" s="1" customFormat="1" ht="10.5" customHeight="1" x14ac:dyDescent="0.25">
      <c r="A553" s="79" t="s">
        <v>39</v>
      </c>
      <c r="B553" s="15">
        <v>11</v>
      </c>
      <c r="C553" s="15">
        <v>6</v>
      </c>
      <c r="D553" s="15">
        <v>5</v>
      </c>
      <c r="E553" s="15">
        <v>270</v>
      </c>
      <c r="F553" s="15">
        <v>153</v>
      </c>
      <c r="G553" s="15">
        <v>117</v>
      </c>
    </row>
    <row r="554" spans="1:7" s="1" customFormat="1" ht="10.5" customHeight="1" x14ac:dyDescent="0.25">
      <c r="A554" s="79" t="s">
        <v>38</v>
      </c>
      <c r="B554" s="15">
        <v>1</v>
      </c>
      <c r="C554" s="15">
        <v>0</v>
      </c>
      <c r="D554" s="15">
        <v>1</v>
      </c>
      <c r="E554" s="15">
        <v>2152</v>
      </c>
      <c r="F554" s="15">
        <v>1137</v>
      </c>
      <c r="G554" s="15">
        <v>1015</v>
      </c>
    </row>
    <row r="555" spans="1:7" s="1" customFormat="1" ht="10.5" customHeight="1" x14ac:dyDescent="0.25">
      <c r="A555" s="79"/>
      <c r="B555" s="114"/>
      <c r="C555" s="114"/>
      <c r="D555" s="114"/>
      <c r="E555" s="114"/>
      <c r="F555" s="114"/>
      <c r="G555" s="114"/>
    </row>
    <row r="556" spans="1:7" s="1" customFormat="1" ht="10.5" customHeight="1" x14ac:dyDescent="0.25">
      <c r="A556" s="113" t="s">
        <v>132</v>
      </c>
      <c r="B556" s="67">
        <v>14989</v>
      </c>
      <c r="C556" s="67">
        <v>7062</v>
      </c>
      <c r="D556" s="67">
        <v>7927</v>
      </c>
      <c r="E556" s="67">
        <v>5648599</v>
      </c>
      <c r="F556" s="67">
        <v>2703699</v>
      </c>
      <c r="G556" s="67">
        <v>2944900</v>
      </c>
    </row>
    <row r="557" spans="1:7" s="1" customFormat="1" ht="10.5" customHeight="1" x14ac:dyDescent="0.25">
      <c r="A557" s="79" t="s">
        <v>50</v>
      </c>
      <c r="B557" s="15">
        <v>177</v>
      </c>
      <c r="C557" s="15">
        <v>96</v>
      </c>
      <c r="D557" s="15">
        <v>81</v>
      </c>
      <c r="E557" s="15">
        <v>198105</v>
      </c>
      <c r="F557" s="15">
        <v>93883</v>
      </c>
      <c r="G557" s="15">
        <v>104222</v>
      </c>
    </row>
    <row r="558" spans="1:7" s="1" customFormat="1" ht="10.5" customHeight="1" x14ac:dyDescent="0.25">
      <c r="A558" s="79" t="s">
        <v>49</v>
      </c>
      <c r="B558" s="15">
        <v>14</v>
      </c>
      <c r="C558" s="15">
        <v>5</v>
      </c>
      <c r="D558" s="15">
        <v>9</v>
      </c>
      <c r="E558" s="15">
        <v>5753</v>
      </c>
      <c r="F558" s="15">
        <v>2833</v>
      </c>
      <c r="G558" s="15">
        <v>2920</v>
      </c>
    </row>
    <row r="559" spans="1:7" s="1" customFormat="1" ht="10.5" customHeight="1" x14ac:dyDescent="0.25">
      <c r="A559" s="79" t="s">
        <v>48</v>
      </c>
      <c r="B559" s="15">
        <v>603</v>
      </c>
      <c r="C559" s="15">
        <v>251</v>
      </c>
      <c r="D559" s="15">
        <v>352</v>
      </c>
      <c r="E559" s="15">
        <v>354</v>
      </c>
      <c r="F559" s="15">
        <v>147</v>
      </c>
      <c r="G559" s="15">
        <v>207</v>
      </c>
    </row>
    <row r="560" spans="1:7" s="1" customFormat="1" ht="10.5" customHeight="1" x14ac:dyDescent="0.25">
      <c r="A560" s="79" t="s">
        <v>47</v>
      </c>
      <c r="B560" s="15">
        <v>556</v>
      </c>
      <c r="C560" s="15">
        <v>327</v>
      </c>
      <c r="D560" s="15">
        <v>229</v>
      </c>
      <c r="E560" s="15">
        <v>265</v>
      </c>
      <c r="F560" s="15">
        <v>137</v>
      </c>
      <c r="G560" s="15">
        <v>128</v>
      </c>
    </row>
    <row r="561" spans="1:7" s="1" customFormat="1" ht="10.5" customHeight="1" x14ac:dyDescent="0.25">
      <c r="A561" s="79" t="s">
        <v>134</v>
      </c>
      <c r="B561" s="15">
        <v>980</v>
      </c>
      <c r="C561" s="15">
        <v>443</v>
      </c>
      <c r="D561" s="15">
        <v>537</v>
      </c>
      <c r="E561" s="15">
        <v>347</v>
      </c>
      <c r="F561" s="15">
        <v>178</v>
      </c>
      <c r="G561" s="15">
        <v>169</v>
      </c>
    </row>
    <row r="562" spans="1:7" s="1" customFormat="1" ht="10.5" customHeight="1" x14ac:dyDescent="0.25">
      <c r="A562" s="79" t="s">
        <v>46</v>
      </c>
      <c r="B562" s="15">
        <v>56</v>
      </c>
      <c r="C562" s="15">
        <v>29</v>
      </c>
      <c r="D562" s="15">
        <v>27</v>
      </c>
      <c r="E562" s="15">
        <v>63</v>
      </c>
      <c r="F562" s="15">
        <v>27</v>
      </c>
      <c r="G562" s="15">
        <v>36</v>
      </c>
    </row>
    <row r="563" spans="1:7" s="1" customFormat="1" ht="10.5" customHeight="1" x14ac:dyDescent="0.25">
      <c r="A563" s="79" t="s">
        <v>45</v>
      </c>
      <c r="B563" s="15">
        <v>77</v>
      </c>
      <c r="C563" s="15">
        <v>33</v>
      </c>
      <c r="D563" s="15">
        <v>44</v>
      </c>
      <c r="E563" s="15">
        <v>82</v>
      </c>
      <c r="F563" s="15">
        <v>44</v>
      </c>
      <c r="G563" s="15">
        <v>38</v>
      </c>
    </row>
    <row r="564" spans="1:7" s="1" customFormat="1" ht="10.5" customHeight="1" x14ac:dyDescent="0.25">
      <c r="A564" s="79" t="s">
        <v>44</v>
      </c>
      <c r="B564" s="15">
        <v>32</v>
      </c>
      <c r="C564" s="15">
        <v>17</v>
      </c>
      <c r="D564" s="15">
        <v>15</v>
      </c>
      <c r="E564" s="15">
        <v>83</v>
      </c>
      <c r="F564" s="15">
        <v>49</v>
      </c>
      <c r="G564" s="15">
        <v>34</v>
      </c>
    </row>
    <row r="565" spans="1:7" s="1" customFormat="1" ht="10.5" customHeight="1" x14ac:dyDescent="0.25">
      <c r="A565" s="79" t="s">
        <v>131</v>
      </c>
      <c r="B565" s="15">
        <v>279</v>
      </c>
      <c r="C565" s="15">
        <v>148</v>
      </c>
      <c r="D565" s="15">
        <v>131</v>
      </c>
      <c r="E565" s="15">
        <v>512</v>
      </c>
      <c r="F565" s="15">
        <v>292</v>
      </c>
      <c r="G565" s="15">
        <v>220</v>
      </c>
    </row>
    <row r="566" spans="1:7" s="1" customFormat="1" ht="10.5" customHeight="1" x14ac:dyDescent="0.25">
      <c r="A566" s="79" t="s">
        <v>43</v>
      </c>
      <c r="B566" s="15">
        <v>12191</v>
      </c>
      <c r="C566" s="15">
        <v>5702</v>
      </c>
      <c r="D566" s="15">
        <v>6489</v>
      </c>
      <c r="E566" s="15">
        <v>5394005</v>
      </c>
      <c r="F566" s="15">
        <v>2580692</v>
      </c>
      <c r="G566" s="15">
        <v>2813313</v>
      </c>
    </row>
    <row r="567" spans="1:7" s="1" customFormat="1" ht="10.5" customHeight="1" x14ac:dyDescent="0.25">
      <c r="A567" s="79" t="s">
        <v>42</v>
      </c>
      <c r="B567" s="15">
        <v>7</v>
      </c>
      <c r="C567" s="15">
        <v>1</v>
      </c>
      <c r="D567" s="15">
        <v>6</v>
      </c>
      <c r="E567" s="15">
        <v>3474</v>
      </c>
      <c r="F567" s="15">
        <v>1597</v>
      </c>
      <c r="G567" s="15">
        <v>1877</v>
      </c>
    </row>
    <row r="568" spans="1:7" s="1" customFormat="1" ht="10.5" customHeight="1" x14ac:dyDescent="0.25">
      <c r="A568" s="79" t="s">
        <v>41</v>
      </c>
      <c r="B568" s="15">
        <v>16</v>
      </c>
      <c r="C568" s="15">
        <v>10</v>
      </c>
      <c r="D568" s="15">
        <v>6</v>
      </c>
      <c r="E568" s="15">
        <v>23943</v>
      </c>
      <c r="F568" s="15">
        <v>12658</v>
      </c>
      <c r="G568" s="15">
        <v>11285</v>
      </c>
    </row>
    <row r="569" spans="1:7" s="1" customFormat="1" ht="10.5" customHeight="1" x14ac:dyDescent="0.25">
      <c r="A569" s="79" t="s">
        <v>40</v>
      </c>
      <c r="B569" s="15">
        <v>0</v>
      </c>
      <c r="C569" s="15">
        <v>0</v>
      </c>
      <c r="D569" s="15">
        <v>0</v>
      </c>
      <c r="E569" s="15">
        <v>1965</v>
      </c>
      <c r="F569" s="15">
        <v>1089</v>
      </c>
      <c r="G569" s="15">
        <v>876</v>
      </c>
    </row>
    <row r="570" spans="1:7" s="1" customFormat="1" ht="10.5" customHeight="1" x14ac:dyDescent="0.25">
      <c r="A570" s="79" t="s">
        <v>39</v>
      </c>
      <c r="B570" s="15">
        <v>1</v>
      </c>
      <c r="C570" s="15">
        <v>0</v>
      </c>
      <c r="D570" s="15">
        <v>1</v>
      </c>
      <c r="E570" s="15">
        <v>3871</v>
      </c>
      <c r="F570" s="15">
        <v>2172</v>
      </c>
      <c r="G570" s="15">
        <v>1699</v>
      </c>
    </row>
    <row r="571" spans="1:7" s="1" customFormat="1" ht="10.5" customHeight="1" x14ac:dyDescent="0.25">
      <c r="A571" s="79" t="s">
        <v>38</v>
      </c>
      <c r="B571" s="15">
        <v>0</v>
      </c>
      <c r="C571" s="15">
        <v>0</v>
      </c>
      <c r="D571" s="15">
        <v>0</v>
      </c>
      <c r="E571" s="15">
        <v>15777</v>
      </c>
      <c r="F571" s="15">
        <v>7901</v>
      </c>
      <c r="G571" s="15">
        <v>7876</v>
      </c>
    </row>
    <row r="572" spans="1:7" s="1" customFormat="1" ht="10.5" customHeight="1" x14ac:dyDescent="0.25">
      <c r="A572" s="79"/>
      <c r="B572" s="112"/>
      <c r="C572" s="112"/>
      <c r="D572" s="112"/>
      <c r="E572" s="112"/>
      <c r="F572" s="112"/>
      <c r="G572" s="112"/>
    </row>
    <row r="573" spans="1:7" s="1" customFormat="1" ht="10.5" customHeight="1" x14ac:dyDescent="0.25">
      <c r="A573" s="121" t="s">
        <v>133</v>
      </c>
      <c r="B573" s="67">
        <v>516</v>
      </c>
      <c r="C573" s="67">
        <v>271</v>
      </c>
      <c r="D573" s="67">
        <v>245</v>
      </c>
      <c r="E573" s="67">
        <v>566489</v>
      </c>
      <c r="F573" s="67">
        <v>282559</v>
      </c>
      <c r="G573" s="67">
        <v>283930</v>
      </c>
    </row>
    <row r="574" spans="1:7" s="1" customFormat="1" ht="10.5" customHeight="1" x14ac:dyDescent="0.25">
      <c r="A574" s="79" t="s">
        <v>50</v>
      </c>
      <c r="B574" s="15">
        <v>8</v>
      </c>
      <c r="C574" s="15">
        <v>8</v>
      </c>
      <c r="D574" s="15">
        <v>0</v>
      </c>
      <c r="E574" s="15">
        <v>25882</v>
      </c>
      <c r="F574" s="15">
        <v>13069</v>
      </c>
      <c r="G574" s="15">
        <v>12813</v>
      </c>
    </row>
    <row r="575" spans="1:7" s="1" customFormat="1" ht="10.5" customHeight="1" x14ac:dyDescent="0.25">
      <c r="A575" s="79" t="s">
        <v>49</v>
      </c>
      <c r="B575" s="15">
        <v>2</v>
      </c>
      <c r="C575" s="15">
        <v>1</v>
      </c>
      <c r="D575" s="15">
        <v>1</v>
      </c>
      <c r="E575" s="15">
        <v>184</v>
      </c>
      <c r="F575" s="15">
        <v>117</v>
      </c>
      <c r="G575" s="15">
        <v>67</v>
      </c>
    </row>
    <row r="576" spans="1:7" s="1" customFormat="1" ht="10.5" customHeight="1" x14ac:dyDescent="0.25">
      <c r="A576" s="79" t="s">
        <v>48</v>
      </c>
      <c r="B576" s="15">
        <v>21</v>
      </c>
      <c r="C576" s="15">
        <v>10</v>
      </c>
      <c r="D576" s="15">
        <v>11</v>
      </c>
      <c r="E576" s="15">
        <v>25</v>
      </c>
      <c r="F576" s="15">
        <v>11</v>
      </c>
      <c r="G576" s="15">
        <v>14</v>
      </c>
    </row>
    <row r="577" spans="1:7" s="1" customFormat="1" ht="10.5" customHeight="1" x14ac:dyDescent="0.25">
      <c r="A577" s="79" t="s">
        <v>47</v>
      </c>
      <c r="B577" s="15">
        <v>25</v>
      </c>
      <c r="C577" s="15">
        <v>15</v>
      </c>
      <c r="D577" s="15">
        <v>10</v>
      </c>
      <c r="E577" s="15">
        <v>5</v>
      </c>
      <c r="F577" s="15">
        <v>4</v>
      </c>
      <c r="G577" s="15">
        <v>1</v>
      </c>
    </row>
    <row r="578" spans="1:7" s="1" customFormat="1" ht="10.5" customHeight="1" x14ac:dyDescent="0.25">
      <c r="A578" s="79" t="s">
        <v>134</v>
      </c>
      <c r="B578" s="15">
        <v>91</v>
      </c>
      <c r="C578" s="15">
        <v>59</v>
      </c>
      <c r="D578" s="15">
        <v>32</v>
      </c>
      <c r="E578" s="15">
        <v>24</v>
      </c>
      <c r="F578" s="15">
        <v>10</v>
      </c>
      <c r="G578" s="15">
        <v>14</v>
      </c>
    </row>
    <row r="579" spans="1:7" s="1" customFormat="1" ht="10.5" customHeight="1" x14ac:dyDescent="0.25">
      <c r="A579" s="79" t="s">
        <v>46</v>
      </c>
      <c r="B579" s="15">
        <v>1</v>
      </c>
      <c r="C579" s="15">
        <v>0</v>
      </c>
      <c r="D579" s="15">
        <v>1</v>
      </c>
      <c r="E579" s="15">
        <v>4</v>
      </c>
      <c r="F579" s="15">
        <v>2</v>
      </c>
      <c r="G579" s="15">
        <v>2</v>
      </c>
    </row>
    <row r="580" spans="1:7" s="1" customFormat="1" ht="10.5" customHeight="1" x14ac:dyDescent="0.25">
      <c r="A580" s="79" t="s">
        <v>45</v>
      </c>
      <c r="B580" s="15">
        <v>4</v>
      </c>
      <c r="C580" s="15">
        <v>1</v>
      </c>
      <c r="D580" s="15">
        <v>3</v>
      </c>
      <c r="E580" s="15">
        <v>5</v>
      </c>
      <c r="F580" s="15">
        <v>3</v>
      </c>
      <c r="G580" s="15">
        <v>2</v>
      </c>
    </row>
    <row r="581" spans="1:7" s="1" customFormat="1" ht="10.5" customHeight="1" x14ac:dyDescent="0.25">
      <c r="A581" s="79" t="s">
        <v>44</v>
      </c>
      <c r="B581" s="15">
        <v>0</v>
      </c>
      <c r="C581" s="15">
        <v>0</v>
      </c>
      <c r="D581" s="15">
        <v>0</v>
      </c>
      <c r="E581" s="15">
        <v>3</v>
      </c>
      <c r="F581" s="15">
        <v>1</v>
      </c>
      <c r="G581" s="15">
        <v>2</v>
      </c>
    </row>
    <row r="582" spans="1:7" s="1" customFormat="1" ht="10.5" customHeight="1" x14ac:dyDescent="0.25">
      <c r="A582" s="79" t="s">
        <v>131</v>
      </c>
      <c r="B582" s="15">
        <v>8</v>
      </c>
      <c r="C582" s="15">
        <v>2</v>
      </c>
      <c r="D582" s="15">
        <v>6</v>
      </c>
      <c r="E582" s="15">
        <v>105</v>
      </c>
      <c r="F582" s="15">
        <v>47</v>
      </c>
      <c r="G582" s="15">
        <v>58</v>
      </c>
    </row>
    <row r="583" spans="1:7" s="1" customFormat="1" ht="10.5" customHeight="1" x14ac:dyDescent="0.25">
      <c r="A583" s="79" t="s">
        <v>43</v>
      </c>
      <c r="B583" s="15">
        <v>354</v>
      </c>
      <c r="C583" s="15">
        <v>175</v>
      </c>
      <c r="D583" s="15">
        <v>179</v>
      </c>
      <c r="E583" s="15">
        <v>533613</v>
      </c>
      <c r="F583" s="15">
        <v>265604</v>
      </c>
      <c r="G583" s="15">
        <v>268009</v>
      </c>
    </row>
    <row r="584" spans="1:7" s="1" customFormat="1" ht="10.5" customHeight="1" x14ac:dyDescent="0.25">
      <c r="A584" s="79" t="s">
        <v>42</v>
      </c>
      <c r="B584" s="15">
        <v>0</v>
      </c>
      <c r="C584" s="15">
        <v>0</v>
      </c>
      <c r="D584" s="15">
        <v>0</v>
      </c>
      <c r="E584" s="15">
        <v>102</v>
      </c>
      <c r="F584" s="15">
        <v>52</v>
      </c>
      <c r="G584" s="15">
        <v>50</v>
      </c>
    </row>
    <row r="585" spans="1:7" s="1" customFormat="1" ht="10.5" customHeight="1" x14ac:dyDescent="0.25">
      <c r="A585" s="79" t="s">
        <v>41</v>
      </c>
      <c r="B585" s="15">
        <v>0</v>
      </c>
      <c r="C585" s="15">
        <v>0</v>
      </c>
      <c r="D585" s="15">
        <v>0</v>
      </c>
      <c r="E585" s="15">
        <v>596</v>
      </c>
      <c r="F585" s="15">
        <v>352</v>
      </c>
      <c r="G585" s="15">
        <v>244</v>
      </c>
    </row>
    <row r="586" spans="1:7" s="1" customFormat="1" ht="10.5" customHeight="1" x14ac:dyDescent="0.25">
      <c r="A586" s="79" t="s">
        <v>40</v>
      </c>
      <c r="B586" s="15">
        <v>0</v>
      </c>
      <c r="C586" s="15">
        <v>0</v>
      </c>
      <c r="D586" s="15">
        <v>0</v>
      </c>
      <c r="E586" s="15">
        <v>258</v>
      </c>
      <c r="F586" s="15">
        <v>140</v>
      </c>
      <c r="G586" s="15">
        <v>118</v>
      </c>
    </row>
    <row r="587" spans="1:7" s="1" customFormat="1" ht="10.5" customHeight="1" x14ac:dyDescent="0.25">
      <c r="A587" s="79" t="s">
        <v>39</v>
      </c>
      <c r="B587" s="15">
        <v>2</v>
      </c>
      <c r="C587" s="15">
        <v>0</v>
      </c>
      <c r="D587" s="15">
        <v>2</v>
      </c>
      <c r="E587" s="15">
        <v>504</v>
      </c>
      <c r="F587" s="15">
        <v>262</v>
      </c>
      <c r="G587" s="15">
        <v>242</v>
      </c>
    </row>
    <row r="588" spans="1:7" s="1" customFormat="1" ht="10.5" customHeight="1" x14ac:dyDescent="0.25">
      <c r="A588" s="79" t="s">
        <v>38</v>
      </c>
      <c r="B588" s="15">
        <v>0</v>
      </c>
      <c r="C588" s="15">
        <v>0</v>
      </c>
      <c r="D588" s="15">
        <v>0</v>
      </c>
      <c r="E588" s="15">
        <v>5179</v>
      </c>
      <c r="F588" s="15">
        <v>2885</v>
      </c>
      <c r="G588" s="15">
        <v>2294</v>
      </c>
    </row>
    <row r="589" spans="1:7" s="1" customFormat="1" ht="3.75" customHeight="1" thickBot="1" x14ac:dyDescent="0.3">
      <c r="A589" s="117"/>
      <c r="B589" s="118"/>
      <c r="C589" s="118"/>
      <c r="D589" s="118"/>
      <c r="E589" s="118"/>
      <c r="F589" s="118"/>
      <c r="G589" s="118"/>
    </row>
    <row r="590" spans="1:7" s="1" customFormat="1" ht="3.75" customHeight="1" x14ac:dyDescent="0.25">
      <c r="A590" s="13"/>
      <c r="B590" s="30"/>
      <c r="C590" s="30"/>
      <c r="D590" s="30"/>
      <c r="E590" s="30"/>
      <c r="F590" s="30"/>
      <c r="G590" s="30"/>
    </row>
    <row r="591" spans="1:7" customFormat="1" ht="28.5" customHeight="1" x14ac:dyDescent="0.2">
      <c r="A591" s="218" t="s">
        <v>119</v>
      </c>
      <c r="B591" s="213"/>
      <c r="C591" s="213"/>
      <c r="D591" s="213"/>
      <c r="E591" s="213"/>
      <c r="F591" s="213"/>
      <c r="G591" s="213"/>
    </row>
    <row r="592" spans="1:7" customFormat="1" ht="13.5" customHeight="1" x14ac:dyDescent="0.25">
      <c r="A592" s="122" t="s">
        <v>122</v>
      </c>
      <c r="B592" s="123"/>
      <c r="C592" s="123"/>
      <c r="D592" s="123"/>
      <c r="E592" s="123"/>
      <c r="F592" s="123"/>
      <c r="G592" s="123"/>
    </row>
    <row r="593" spans="1:7" customFormat="1" ht="13.5" x14ac:dyDescent="0.25">
      <c r="A593" s="123" t="s">
        <v>120</v>
      </c>
      <c r="B593" s="10"/>
      <c r="C593" s="10"/>
      <c r="D593" s="10"/>
      <c r="E593" s="42"/>
      <c r="F593" s="42"/>
      <c r="G593" s="42"/>
    </row>
    <row r="594" spans="1:7" customFormat="1" ht="13.5" x14ac:dyDescent="0.25">
      <c r="A594" s="123" t="s">
        <v>121</v>
      </c>
      <c r="B594" s="29"/>
      <c r="C594" s="29"/>
      <c r="D594" s="29"/>
      <c r="E594" s="29"/>
      <c r="F594" s="29"/>
      <c r="G594" s="29"/>
    </row>
    <row r="595" spans="1:7" customFormat="1" ht="25.5" customHeight="1" x14ac:dyDescent="0.25">
      <c r="A595" s="203" t="s">
        <v>118</v>
      </c>
      <c r="B595" s="213"/>
      <c r="C595" s="213"/>
      <c r="D595" s="213"/>
      <c r="E595" s="213"/>
      <c r="F595" s="213"/>
      <c r="G595" s="213"/>
    </row>
  </sheetData>
  <mergeCells count="62">
    <mergeCell ref="A178:G178"/>
    <mergeCell ref="A179:G179"/>
    <mergeCell ref="A180:G180"/>
    <mergeCell ref="A182:A183"/>
    <mergeCell ref="B182:D182"/>
    <mergeCell ref="E182:G182"/>
    <mergeCell ref="A119:G119"/>
    <mergeCell ref="A120:G120"/>
    <mergeCell ref="A121:G121"/>
    <mergeCell ref="A123:A124"/>
    <mergeCell ref="B123:D123"/>
    <mergeCell ref="E123:G123"/>
    <mergeCell ref="A60:G60"/>
    <mergeCell ref="A61:G61"/>
    <mergeCell ref="A62:G62"/>
    <mergeCell ref="A64:A65"/>
    <mergeCell ref="B64:D64"/>
    <mergeCell ref="E64:G64"/>
    <mergeCell ref="A355:G355"/>
    <mergeCell ref="A356:G356"/>
    <mergeCell ref="A359:A360"/>
    <mergeCell ref="B359:D359"/>
    <mergeCell ref="E359:G359"/>
    <mergeCell ref="A357:G357"/>
    <mergeCell ref="A296:G296"/>
    <mergeCell ref="A297:G297"/>
    <mergeCell ref="A300:A301"/>
    <mergeCell ref="B300:D300"/>
    <mergeCell ref="E300:G300"/>
    <mergeCell ref="A298:G298"/>
    <mergeCell ref="A1:G1"/>
    <mergeCell ref="A2:G2"/>
    <mergeCell ref="A5:A6"/>
    <mergeCell ref="B5:D5"/>
    <mergeCell ref="E5:G5"/>
    <mergeCell ref="A3:G3"/>
    <mergeCell ref="A237:G237"/>
    <mergeCell ref="A238:G238"/>
    <mergeCell ref="A241:A242"/>
    <mergeCell ref="B241:D241"/>
    <mergeCell ref="E241:G241"/>
    <mergeCell ref="A239:G239"/>
    <mergeCell ref="A414:G414"/>
    <mergeCell ref="A415:G415"/>
    <mergeCell ref="A418:A419"/>
    <mergeCell ref="B418:D418"/>
    <mergeCell ref="E418:G418"/>
    <mergeCell ref="A416:G416"/>
    <mergeCell ref="A473:G473"/>
    <mergeCell ref="A474:G474"/>
    <mergeCell ref="A477:A478"/>
    <mergeCell ref="B477:D477"/>
    <mergeCell ref="E477:G477"/>
    <mergeCell ref="A475:G475"/>
    <mergeCell ref="A591:G591"/>
    <mergeCell ref="A595:G595"/>
    <mergeCell ref="A532:G532"/>
    <mergeCell ref="A533:G533"/>
    <mergeCell ref="A536:A537"/>
    <mergeCell ref="B536:D536"/>
    <mergeCell ref="E536:G536"/>
    <mergeCell ref="A534:G534"/>
  </mergeCells>
  <pageMargins left="0.98425196850393704" right="0.98425196850393704" top="0.98425196850393704" bottom="0.98425196850393704" header="0.98425196850393704" footer="0.98425196850393704"/>
  <pageSetup paperSize="9" orientation="portrait" r:id="rId1"/>
  <rowBreaks count="9" manualBreakCount="9">
    <brk id="59" max="6" man="1"/>
    <brk id="118" max="6" man="1"/>
    <brk id="177" max="6" man="1"/>
    <brk id="236" max="6" man="1"/>
    <brk id="295" max="6" man="1"/>
    <brk id="354" max="6" man="1"/>
    <brk id="413" max="6" man="1"/>
    <brk id="472" max="6" man="1"/>
    <brk id="531" max="6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D0CDF53-4BCD-44E9-A0D1-9669B348B89A}">
            <xm:f>NOT(ISERROR(SEARCH("-",B480)))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B480:G530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48"/>
  <sheetViews>
    <sheetView showWhiteSpace="0" view="pageBreakPreview" zoomScale="145" zoomScaleNormal="100" zoomScaleSheetLayoutView="145" workbookViewId="0">
      <selection sqref="A1:G1"/>
    </sheetView>
  </sheetViews>
  <sheetFormatPr baseColWidth="10" defaultRowHeight="12.75" x14ac:dyDescent="0.25"/>
  <cols>
    <col min="1" max="1" width="25" style="10" customWidth="1"/>
    <col min="2" max="4" width="9" style="31" customWidth="1"/>
    <col min="5" max="7" width="9" style="4" customWidth="1"/>
    <col min="8" max="16384" width="11.42578125" style="10"/>
  </cols>
  <sheetData>
    <row r="1" spans="1:7" ht="12.75" customHeight="1" x14ac:dyDescent="0.2">
      <c r="A1" s="205" t="s">
        <v>139</v>
      </c>
      <c r="B1" s="205"/>
      <c r="C1" s="205"/>
      <c r="D1" s="205"/>
      <c r="E1" s="205"/>
      <c r="F1" s="205"/>
      <c r="G1" s="205"/>
    </row>
    <row r="2" spans="1:7" ht="39" customHeight="1" x14ac:dyDescent="0.2">
      <c r="A2" s="206" t="s">
        <v>123</v>
      </c>
      <c r="B2" s="206"/>
      <c r="C2" s="206"/>
      <c r="D2" s="206"/>
      <c r="E2" s="206"/>
      <c r="F2" s="206"/>
      <c r="G2" s="206"/>
    </row>
    <row r="3" spans="1:7" ht="12.75" customHeight="1" x14ac:dyDescent="0.25">
      <c r="A3" s="215" t="s">
        <v>17</v>
      </c>
      <c r="B3" s="215"/>
      <c r="C3" s="215"/>
      <c r="D3" s="215"/>
      <c r="E3" s="215"/>
      <c r="F3" s="215"/>
      <c r="G3" s="215"/>
    </row>
    <row r="4" spans="1:7" ht="10.5" customHeight="1" thickBot="1" x14ac:dyDescent="0.3">
      <c r="A4" s="47"/>
      <c r="B4" s="47"/>
      <c r="C4" s="47"/>
      <c r="D4" s="47"/>
      <c r="E4" s="47"/>
      <c r="F4" s="47"/>
      <c r="G4" s="47"/>
    </row>
    <row r="5" spans="1:7" ht="12.75" customHeight="1" thickBot="1" x14ac:dyDescent="0.25">
      <c r="A5" s="208" t="s">
        <v>88</v>
      </c>
      <c r="B5" s="210" t="s">
        <v>117</v>
      </c>
      <c r="C5" s="211"/>
      <c r="D5" s="212"/>
      <c r="E5" s="210" t="s">
        <v>116</v>
      </c>
      <c r="F5" s="211"/>
      <c r="G5" s="212"/>
    </row>
    <row r="6" spans="1:7" ht="12.75" customHeight="1" thickBot="1" x14ac:dyDescent="0.25">
      <c r="A6" s="209"/>
      <c r="B6" s="53" t="s">
        <v>15</v>
      </c>
      <c r="C6" s="54" t="s">
        <v>14</v>
      </c>
      <c r="D6" s="55" t="s">
        <v>13</v>
      </c>
      <c r="E6" s="56" t="s">
        <v>15</v>
      </c>
      <c r="F6" s="56" t="s">
        <v>14</v>
      </c>
      <c r="G6" s="57" t="s">
        <v>13</v>
      </c>
    </row>
    <row r="7" spans="1:7" ht="3.75" customHeight="1" x14ac:dyDescent="0.25">
      <c r="A7" s="77"/>
      <c r="B7" s="102"/>
      <c r="C7" s="8"/>
      <c r="D7" s="8"/>
      <c r="G7" s="1"/>
    </row>
    <row r="8" spans="1:7" ht="10.5" customHeight="1" x14ac:dyDescent="0.2">
      <c r="A8" s="78" t="s">
        <v>15</v>
      </c>
      <c r="B8" s="60">
        <v>212823</v>
      </c>
      <c r="C8" s="61">
        <v>105183</v>
      </c>
      <c r="D8" s="61">
        <v>107640</v>
      </c>
      <c r="E8" s="61">
        <v>16382789</v>
      </c>
      <c r="F8" s="61">
        <v>7950827</v>
      </c>
      <c r="G8" s="61">
        <v>8431962</v>
      </c>
    </row>
    <row r="9" spans="1:7" ht="10.5" customHeight="1" x14ac:dyDescent="0.2">
      <c r="A9" s="125" t="s">
        <v>57</v>
      </c>
      <c r="B9" s="62">
        <v>170351</v>
      </c>
      <c r="C9" s="15">
        <v>82220</v>
      </c>
      <c r="D9" s="15">
        <v>88131</v>
      </c>
      <c r="E9" s="15">
        <v>11975760</v>
      </c>
      <c r="F9" s="15">
        <v>5589603</v>
      </c>
      <c r="G9" s="15">
        <v>6386157</v>
      </c>
    </row>
    <row r="10" spans="1:7" ht="10.5" customHeight="1" x14ac:dyDescent="0.2">
      <c r="A10" s="125" t="s">
        <v>56</v>
      </c>
      <c r="B10" s="62">
        <v>42472</v>
      </c>
      <c r="C10" s="15">
        <v>22963</v>
      </c>
      <c r="D10" s="15">
        <v>19509</v>
      </c>
      <c r="E10" s="15">
        <v>4407029</v>
      </c>
      <c r="F10" s="15">
        <v>2361224</v>
      </c>
      <c r="G10" s="15">
        <v>2045805</v>
      </c>
    </row>
    <row r="11" spans="1:7" s="1" customFormat="1" ht="10.5" customHeight="1" x14ac:dyDescent="0.25">
      <c r="A11" s="79"/>
      <c r="B11" s="63"/>
      <c r="C11" s="64"/>
      <c r="D11" s="64"/>
      <c r="E11" s="64"/>
      <c r="F11" s="64"/>
      <c r="G11" s="64"/>
    </row>
    <row r="12" spans="1:7" s="1" customFormat="1" ht="10.5" customHeight="1" x14ac:dyDescent="0.25">
      <c r="A12" s="113" t="s">
        <v>37</v>
      </c>
      <c r="B12" s="66">
        <v>56337</v>
      </c>
      <c r="C12" s="67">
        <v>26827</v>
      </c>
      <c r="D12" s="67">
        <v>29510</v>
      </c>
      <c r="E12" s="67">
        <v>13996109</v>
      </c>
      <c r="F12" s="67">
        <v>6726342</v>
      </c>
      <c r="G12" s="67">
        <v>7269767</v>
      </c>
    </row>
    <row r="13" spans="1:7" s="1" customFormat="1" ht="10.5" customHeight="1" x14ac:dyDescent="0.25">
      <c r="A13" s="125" t="s">
        <v>57</v>
      </c>
      <c r="B13" s="62">
        <v>42800</v>
      </c>
      <c r="C13" s="15">
        <v>19622</v>
      </c>
      <c r="D13" s="15">
        <v>23178</v>
      </c>
      <c r="E13" s="15">
        <v>10069696</v>
      </c>
      <c r="F13" s="15">
        <v>4646463</v>
      </c>
      <c r="G13" s="15">
        <v>5423233</v>
      </c>
    </row>
    <row r="14" spans="1:7" s="1" customFormat="1" ht="10.5" customHeight="1" x14ac:dyDescent="0.25">
      <c r="A14" s="125" t="s">
        <v>56</v>
      </c>
      <c r="B14" s="62">
        <v>13537</v>
      </c>
      <c r="C14" s="15">
        <v>7205</v>
      </c>
      <c r="D14" s="15">
        <v>6332</v>
      </c>
      <c r="E14" s="15">
        <v>3926413</v>
      </c>
      <c r="F14" s="15">
        <v>2079879</v>
      </c>
      <c r="G14" s="15">
        <v>1846534</v>
      </c>
    </row>
    <row r="15" spans="1:7" s="1" customFormat="1" ht="10.5" customHeight="1" x14ac:dyDescent="0.25">
      <c r="A15" s="79"/>
      <c r="B15" s="63"/>
      <c r="C15" s="64"/>
      <c r="D15" s="64"/>
      <c r="E15" s="64"/>
      <c r="F15" s="64"/>
      <c r="G15" s="64"/>
    </row>
    <row r="16" spans="1:7" s="1" customFormat="1" ht="10.5" customHeight="1" x14ac:dyDescent="0.25">
      <c r="A16" s="113" t="s">
        <v>36</v>
      </c>
      <c r="B16" s="66">
        <v>156486</v>
      </c>
      <c r="C16" s="67">
        <v>78356</v>
      </c>
      <c r="D16" s="67">
        <v>78130</v>
      </c>
      <c r="E16" s="67">
        <v>2386680</v>
      </c>
      <c r="F16" s="67">
        <v>1224485</v>
      </c>
      <c r="G16" s="67">
        <v>1162195</v>
      </c>
    </row>
    <row r="17" spans="1:7" s="1" customFormat="1" ht="10.5" customHeight="1" x14ac:dyDescent="0.25">
      <c r="A17" s="125" t="s">
        <v>57</v>
      </c>
      <c r="B17" s="62">
        <v>127551</v>
      </c>
      <c r="C17" s="15">
        <v>62598</v>
      </c>
      <c r="D17" s="15">
        <v>64953</v>
      </c>
      <c r="E17" s="15">
        <v>1906064</v>
      </c>
      <c r="F17" s="15">
        <v>943140</v>
      </c>
      <c r="G17" s="15">
        <v>962924</v>
      </c>
    </row>
    <row r="18" spans="1:7" s="1" customFormat="1" ht="10.5" customHeight="1" x14ac:dyDescent="0.25">
      <c r="A18" s="125" t="s">
        <v>56</v>
      </c>
      <c r="B18" s="62">
        <v>28935</v>
      </c>
      <c r="C18" s="15">
        <v>15758</v>
      </c>
      <c r="D18" s="15">
        <v>13177</v>
      </c>
      <c r="E18" s="15">
        <v>480616</v>
      </c>
      <c r="F18" s="15">
        <v>281345</v>
      </c>
      <c r="G18" s="15">
        <v>199271</v>
      </c>
    </row>
    <row r="19" spans="1:7" s="1" customFormat="1" ht="10.5" customHeight="1" x14ac:dyDescent="0.25">
      <c r="A19" s="80"/>
      <c r="B19" s="69"/>
      <c r="C19" s="70"/>
      <c r="D19" s="70"/>
      <c r="E19" s="71"/>
      <c r="F19" s="71"/>
      <c r="G19" s="64"/>
    </row>
    <row r="20" spans="1:7" s="1" customFormat="1" ht="10.5" customHeight="1" x14ac:dyDescent="0.25">
      <c r="A20" s="78" t="s">
        <v>35</v>
      </c>
      <c r="B20" s="60">
        <v>34958</v>
      </c>
      <c r="C20" s="61">
        <v>17070</v>
      </c>
      <c r="D20" s="61">
        <v>17888</v>
      </c>
      <c r="E20" s="61">
        <v>228548</v>
      </c>
      <c r="F20" s="61">
        <v>115326</v>
      </c>
      <c r="G20" s="61">
        <v>113222</v>
      </c>
    </row>
    <row r="21" spans="1:7" s="1" customFormat="1" ht="10.5" customHeight="1" x14ac:dyDescent="0.25">
      <c r="A21" s="125" t="s">
        <v>57</v>
      </c>
      <c r="B21" s="62">
        <v>29359</v>
      </c>
      <c r="C21" s="15">
        <v>14229</v>
      </c>
      <c r="D21" s="15">
        <v>15130</v>
      </c>
      <c r="E21" s="15">
        <v>190399</v>
      </c>
      <c r="F21" s="15">
        <v>92101</v>
      </c>
      <c r="G21" s="15">
        <v>98298</v>
      </c>
    </row>
    <row r="22" spans="1:7" s="1" customFormat="1" ht="10.5" customHeight="1" x14ac:dyDescent="0.25">
      <c r="A22" s="125" t="s">
        <v>56</v>
      </c>
      <c r="B22" s="62">
        <v>5599</v>
      </c>
      <c r="C22" s="15">
        <v>2841</v>
      </c>
      <c r="D22" s="15">
        <v>2758</v>
      </c>
      <c r="E22" s="15">
        <v>38149</v>
      </c>
      <c r="F22" s="15">
        <v>23225</v>
      </c>
      <c r="G22" s="15">
        <v>14924</v>
      </c>
    </row>
    <row r="23" spans="1:7" s="1" customFormat="1" ht="10.5" customHeight="1" x14ac:dyDescent="0.25">
      <c r="A23" s="82"/>
      <c r="B23" s="63"/>
      <c r="C23" s="64"/>
      <c r="D23" s="64"/>
      <c r="E23" s="64"/>
      <c r="F23" s="64"/>
      <c r="G23" s="64"/>
    </row>
    <row r="24" spans="1:7" s="1" customFormat="1" ht="10.5" customHeight="1" x14ac:dyDescent="0.25">
      <c r="A24" s="78" t="s">
        <v>34</v>
      </c>
      <c r="B24" s="60">
        <v>211</v>
      </c>
      <c r="C24" s="61">
        <v>114</v>
      </c>
      <c r="D24" s="61">
        <v>97</v>
      </c>
      <c r="E24" s="61">
        <v>533048</v>
      </c>
      <c r="F24" s="61">
        <v>261806</v>
      </c>
      <c r="G24" s="61">
        <v>271242</v>
      </c>
    </row>
    <row r="25" spans="1:7" s="1" customFormat="1" ht="10.5" customHeight="1" x14ac:dyDescent="0.25">
      <c r="A25" s="125" t="s">
        <v>57</v>
      </c>
      <c r="B25" s="62">
        <v>159</v>
      </c>
      <c r="C25" s="15">
        <v>81</v>
      </c>
      <c r="D25" s="15">
        <v>78</v>
      </c>
      <c r="E25" s="15">
        <v>402707</v>
      </c>
      <c r="F25" s="15">
        <v>190910</v>
      </c>
      <c r="G25" s="15">
        <v>211797</v>
      </c>
    </row>
    <row r="26" spans="1:7" s="1" customFormat="1" ht="10.5" customHeight="1" x14ac:dyDescent="0.25">
      <c r="A26" s="125" t="s">
        <v>56</v>
      </c>
      <c r="B26" s="62">
        <v>52</v>
      </c>
      <c r="C26" s="15">
        <v>33</v>
      </c>
      <c r="D26" s="15">
        <v>19</v>
      </c>
      <c r="E26" s="15">
        <v>130341</v>
      </c>
      <c r="F26" s="15">
        <v>70896</v>
      </c>
      <c r="G26" s="15">
        <v>59445</v>
      </c>
    </row>
    <row r="27" spans="1:7" s="1" customFormat="1" ht="10.5" customHeight="1" x14ac:dyDescent="0.25">
      <c r="A27" s="82"/>
      <c r="B27" s="63"/>
      <c r="C27" s="64"/>
      <c r="D27" s="64"/>
      <c r="E27" s="64"/>
      <c r="F27" s="64"/>
      <c r="G27" s="64"/>
    </row>
    <row r="28" spans="1:7" s="1" customFormat="1" ht="10.5" customHeight="1" x14ac:dyDescent="0.25">
      <c r="A28" s="78" t="s">
        <v>33</v>
      </c>
      <c r="B28" s="60">
        <v>144</v>
      </c>
      <c r="C28" s="61">
        <v>72</v>
      </c>
      <c r="D28" s="61">
        <v>72</v>
      </c>
      <c r="E28" s="61">
        <v>40128</v>
      </c>
      <c r="F28" s="61">
        <v>21124</v>
      </c>
      <c r="G28" s="61">
        <v>19004</v>
      </c>
    </row>
    <row r="29" spans="1:7" s="1" customFormat="1" ht="10.5" customHeight="1" x14ac:dyDescent="0.25">
      <c r="A29" s="125" t="s">
        <v>57</v>
      </c>
      <c r="B29" s="62">
        <v>112</v>
      </c>
      <c r="C29" s="15">
        <v>58</v>
      </c>
      <c r="D29" s="15">
        <v>54</v>
      </c>
      <c r="E29" s="15">
        <v>33821</v>
      </c>
      <c r="F29" s="15">
        <v>17466</v>
      </c>
      <c r="G29" s="15">
        <v>16355</v>
      </c>
    </row>
    <row r="30" spans="1:7" s="1" customFormat="1" ht="10.5" customHeight="1" x14ac:dyDescent="0.25">
      <c r="A30" s="125" t="s">
        <v>56</v>
      </c>
      <c r="B30" s="62">
        <v>32</v>
      </c>
      <c r="C30" s="15">
        <v>14</v>
      </c>
      <c r="D30" s="15">
        <v>18</v>
      </c>
      <c r="E30" s="15">
        <v>6307</v>
      </c>
      <c r="F30" s="15">
        <v>3658</v>
      </c>
      <c r="G30" s="15">
        <v>2649</v>
      </c>
    </row>
    <row r="31" spans="1:7" s="1" customFormat="1" ht="10.5" customHeight="1" x14ac:dyDescent="0.25">
      <c r="A31" s="79"/>
      <c r="B31" s="63"/>
      <c r="C31" s="64"/>
      <c r="D31" s="64"/>
      <c r="E31" s="64"/>
      <c r="F31" s="64"/>
      <c r="G31" s="64"/>
    </row>
    <row r="32" spans="1:7" s="1" customFormat="1" ht="10.5" customHeight="1" x14ac:dyDescent="0.25">
      <c r="A32" s="78" t="s">
        <v>32</v>
      </c>
      <c r="B32" s="60">
        <v>627</v>
      </c>
      <c r="C32" s="61">
        <v>327</v>
      </c>
      <c r="D32" s="61">
        <v>300</v>
      </c>
      <c r="E32" s="61">
        <v>705710</v>
      </c>
      <c r="F32" s="61">
        <v>341302</v>
      </c>
      <c r="G32" s="61">
        <v>364408</v>
      </c>
    </row>
    <row r="33" spans="1:7" s="1" customFormat="1" ht="10.5" customHeight="1" x14ac:dyDescent="0.25">
      <c r="A33" s="125" t="s">
        <v>57</v>
      </c>
      <c r="B33" s="62">
        <v>380</v>
      </c>
      <c r="C33" s="15">
        <v>188</v>
      </c>
      <c r="D33" s="15">
        <v>192</v>
      </c>
      <c r="E33" s="15">
        <v>463796</v>
      </c>
      <c r="F33" s="15">
        <v>215345</v>
      </c>
      <c r="G33" s="15">
        <v>248451</v>
      </c>
    </row>
    <row r="34" spans="1:7" s="1" customFormat="1" ht="10.5" customHeight="1" x14ac:dyDescent="0.25">
      <c r="A34" s="125" t="s">
        <v>56</v>
      </c>
      <c r="B34" s="62">
        <v>247</v>
      </c>
      <c r="C34" s="15">
        <v>139</v>
      </c>
      <c r="D34" s="15">
        <v>108</v>
      </c>
      <c r="E34" s="15">
        <v>241914</v>
      </c>
      <c r="F34" s="15">
        <v>125957</v>
      </c>
      <c r="G34" s="15">
        <v>115957</v>
      </c>
    </row>
    <row r="35" spans="1:7" s="1" customFormat="1" ht="10.5" customHeight="1" x14ac:dyDescent="0.25">
      <c r="A35" s="82"/>
      <c r="B35" s="63"/>
      <c r="C35" s="64"/>
      <c r="D35" s="64"/>
      <c r="E35" s="64"/>
      <c r="F35" s="64"/>
      <c r="G35" s="64"/>
    </row>
    <row r="36" spans="1:7" s="1" customFormat="1" ht="10.5" customHeight="1" x14ac:dyDescent="0.25">
      <c r="A36" s="78" t="s">
        <v>31</v>
      </c>
      <c r="B36" s="60">
        <v>314</v>
      </c>
      <c r="C36" s="61">
        <v>171</v>
      </c>
      <c r="D36" s="61">
        <v>143</v>
      </c>
      <c r="E36" s="61">
        <v>84703</v>
      </c>
      <c r="F36" s="61">
        <v>44381</v>
      </c>
      <c r="G36" s="61">
        <v>40322</v>
      </c>
    </row>
    <row r="37" spans="1:7" s="1" customFormat="1" ht="10.5" customHeight="1" x14ac:dyDescent="0.25">
      <c r="A37" s="125" t="s">
        <v>57</v>
      </c>
      <c r="B37" s="62">
        <v>230</v>
      </c>
      <c r="C37" s="15">
        <v>112</v>
      </c>
      <c r="D37" s="15">
        <v>118</v>
      </c>
      <c r="E37" s="15">
        <v>67890</v>
      </c>
      <c r="F37" s="15">
        <v>34310</v>
      </c>
      <c r="G37" s="15">
        <v>33580</v>
      </c>
    </row>
    <row r="38" spans="1:7" s="1" customFormat="1" ht="10.5" customHeight="1" x14ac:dyDescent="0.25">
      <c r="A38" s="125" t="s">
        <v>56</v>
      </c>
      <c r="B38" s="62">
        <v>84</v>
      </c>
      <c r="C38" s="15">
        <v>59</v>
      </c>
      <c r="D38" s="15">
        <v>25</v>
      </c>
      <c r="E38" s="15">
        <v>16813</v>
      </c>
      <c r="F38" s="15">
        <v>10071</v>
      </c>
      <c r="G38" s="15">
        <v>6742</v>
      </c>
    </row>
    <row r="39" spans="1:7" s="1" customFormat="1" ht="10.5" customHeight="1" x14ac:dyDescent="0.25">
      <c r="A39" s="126"/>
      <c r="B39" s="63"/>
      <c r="C39" s="64"/>
      <c r="D39" s="64"/>
      <c r="E39" s="64"/>
      <c r="F39" s="64"/>
      <c r="G39" s="64"/>
    </row>
    <row r="40" spans="1:7" s="1" customFormat="1" ht="10.5" customHeight="1" x14ac:dyDescent="0.25">
      <c r="A40" s="78" t="s">
        <v>30</v>
      </c>
      <c r="B40" s="60">
        <v>1963</v>
      </c>
      <c r="C40" s="61">
        <v>955</v>
      </c>
      <c r="D40" s="61">
        <v>1008</v>
      </c>
      <c r="E40" s="61">
        <v>898798</v>
      </c>
      <c r="F40" s="61">
        <v>435186</v>
      </c>
      <c r="G40" s="61">
        <v>463612</v>
      </c>
    </row>
    <row r="41" spans="1:7" s="1" customFormat="1" ht="10.5" customHeight="1" x14ac:dyDescent="0.25">
      <c r="A41" s="125" t="s">
        <v>57</v>
      </c>
      <c r="B41" s="62">
        <v>1621</v>
      </c>
      <c r="C41" s="15">
        <v>765</v>
      </c>
      <c r="D41" s="15">
        <v>856</v>
      </c>
      <c r="E41" s="15">
        <v>741186</v>
      </c>
      <c r="F41" s="15">
        <v>348116</v>
      </c>
      <c r="G41" s="15">
        <v>393070</v>
      </c>
    </row>
    <row r="42" spans="1:7" s="1" customFormat="1" ht="10.5" customHeight="1" x14ac:dyDescent="0.25">
      <c r="A42" s="125" t="s">
        <v>56</v>
      </c>
      <c r="B42" s="62">
        <v>342</v>
      </c>
      <c r="C42" s="15">
        <v>190</v>
      </c>
      <c r="D42" s="15">
        <v>152</v>
      </c>
      <c r="E42" s="15">
        <v>157612</v>
      </c>
      <c r="F42" s="15">
        <v>87070</v>
      </c>
      <c r="G42" s="15">
        <v>70542</v>
      </c>
    </row>
    <row r="43" spans="1:7" s="1" customFormat="1" ht="10.5" customHeight="1" x14ac:dyDescent="0.25">
      <c r="A43" s="82"/>
      <c r="B43" s="69"/>
      <c r="C43" s="70"/>
      <c r="D43" s="70"/>
      <c r="E43" s="71"/>
      <c r="F43" s="71"/>
      <c r="G43" s="64"/>
    </row>
    <row r="44" spans="1:7" s="1" customFormat="1" ht="10.5" customHeight="1" x14ac:dyDescent="0.25">
      <c r="A44" s="81" t="s">
        <v>29</v>
      </c>
      <c r="B44" s="60">
        <v>1501</v>
      </c>
      <c r="C44" s="61">
        <v>684</v>
      </c>
      <c r="D44" s="61">
        <v>817</v>
      </c>
      <c r="E44" s="61">
        <v>672667</v>
      </c>
      <c r="F44" s="61">
        <v>323007</v>
      </c>
      <c r="G44" s="61">
        <v>349660</v>
      </c>
    </row>
    <row r="45" spans="1:7" s="1" customFormat="1" ht="10.5" customHeight="1" x14ac:dyDescent="0.25">
      <c r="A45" s="125" t="s">
        <v>57</v>
      </c>
      <c r="B45" s="62">
        <v>1115</v>
      </c>
      <c r="C45" s="15">
        <v>469</v>
      </c>
      <c r="D45" s="15">
        <v>646</v>
      </c>
      <c r="E45" s="15">
        <v>512532</v>
      </c>
      <c r="F45" s="15">
        <v>238270</v>
      </c>
      <c r="G45" s="15">
        <v>274262</v>
      </c>
    </row>
    <row r="46" spans="1:7" s="1" customFormat="1" ht="10.5" customHeight="1" x14ac:dyDescent="0.25">
      <c r="A46" s="125" t="s">
        <v>56</v>
      </c>
      <c r="B46" s="62">
        <v>386</v>
      </c>
      <c r="C46" s="15">
        <v>215</v>
      </c>
      <c r="D46" s="15">
        <v>171</v>
      </c>
      <c r="E46" s="15">
        <v>160135</v>
      </c>
      <c r="F46" s="15">
        <v>84737</v>
      </c>
      <c r="G46" s="15">
        <v>75398</v>
      </c>
    </row>
    <row r="47" spans="1:7" s="1" customFormat="1" ht="10.5" customHeight="1" x14ac:dyDescent="0.25">
      <c r="A47" s="82"/>
      <c r="B47" s="63"/>
      <c r="C47" s="64"/>
      <c r="D47" s="64"/>
      <c r="E47" s="64"/>
      <c r="F47" s="64"/>
      <c r="G47" s="64"/>
    </row>
    <row r="48" spans="1:7" s="1" customFormat="1" ht="10.5" customHeight="1" x14ac:dyDescent="0.25">
      <c r="A48" s="78" t="s">
        <v>28</v>
      </c>
      <c r="B48" s="60">
        <v>6969</v>
      </c>
      <c r="C48" s="61">
        <v>3473</v>
      </c>
      <c r="D48" s="61">
        <v>3496</v>
      </c>
      <c r="E48" s="61">
        <v>225050</v>
      </c>
      <c r="F48" s="61">
        <v>113151</v>
      </c>
      <c r="G48" s="61">
        <v>111899</v>
      </c>
    </row>
    <row r="49" spans="1:7" s="1" customFormat="1" ht="10.5" customHeight="1" x14ac:dyDescent="0.25">
      <c r="A49" s="125" t="s">
        <v>57</v>
      </c>
      <c r="B49" s="62">
        <v>5537</v>
      </c>
      <c r="C49" s="15">
        <v>2686</v>
      </c>
      <c r="D49" s="15">
        <v>2851</v>
      </c>
      <c r="E49" s="15">
        <v>152995</v>
      </c>
      <c r="F49" s="15">
        <v>74653</v>
      </c>
      <c r="G49" s="15">
        <v>78342</v>
      </c>
    </row>
    <row r="50" spans="1:7" s="1" customFormat="1" ht="10.5" customHeight="1" x14ac:dyDescent="0.25">
      <c r="A50" s="125" t="s">
        <v>56</v>
      </c>
      <c r="B50" s="62">
        <v>1432</v>
      </c>
      <c r="C50" s="15">
        <v>787</v>
      </c>
      <c r="D50" s="15">
        <v>645</v>
      </c>
      <c r="E50" s="15">
        <v>72055</v>
      </c>
      <c r="F50" s="15">
        <v>38498</v>
      </c>
      <c r="G50" s="15">
        <v>33557</v>
      </c>
    </row>
    <row r="51" spans="1:7" s="1" customFormat="1" ht="10.5" customHeight="1" x14ac:dyDescent="0.25">
      <c r="A51" s="82"/>
      <c r="B51" s="63"/>
      <c r="C51" s="64"/>
      <c r="D51" s="64"/>
      <c r="E51" s="64"/>
      <c r="F51" s="64"/>
      <c r="G51" s="64"/>
    </row>
    <row r="52" spans="1:7" s="1" customFormat="1" ht="10.5" customHeight="1" x14ac:dyDescent="0.25">
      <c r="A52" s="78" t="s">
        <v>27</v>
      </c>
      <c r="B52" s="60">
        <v>48</v>
      </c>
      <c r="C52" s="61">
        <v>24</v>
      </c>
      <c r="D52" s="61">
        <v>24</v>
      </c>
      <c r="E52" s="61">
        <v>50752</v>
      </c>
      <c r="F52" s="61">
        <v>25671</v>
      </c>
      <c r="G52" s="61">
        <v>25081</v>
      </c>
    </row>
    <row r="53" spans="1:7" s="1" customFormat="1" ht="10.5" customHeight="1" x14ac:dyDescent="0.25">
      <c r="A53" s="125" t="s">
        <v>57</v>
      </c>
      <c r="B53" s="62">
        <v>35</v>
      </c>
      <c r="C53" s="15">
        <v>14</v>
      </c>
      <c r="D53" s="15">
        <v>21</v>
      </c>
      <c r="E53" s="15">
        <v>44352</v>
      </c>
      <c r="F53" s="15">
        <v>21830</v>
      </c>
      <c r="G53" s="15">
        <v>22522</v>
      </c>
    </row>
    <row r="54" spans="1:7" s="1" customFormat="1" ht="10.5" customHeight="1" x14ac:dyDescent="0.25">
      <c r="A54" s="125" t="s">
        <v>56</v>
      </c>
      <c r="B54" s="62">
        <v>13</v>
      </c>
      <c r="C54" s="15">
        <v>10</v>
      </c>
      <c r="D54" s="15">
        <v>3</v>
      </c>
      <c r="E54" s="15">
        <v>6400</v>
      </c>
      <c r="F54" s="15">
        <v>3841</v>
      </c>
      <c r="G54" s="15">
        <v>2559</v>
      </c>
    </row>
    <row r="55" spans="1:7" s="1" customFormat="1" ht="10.5" customHeight="1" x14ac:dyDescent="0.25">
      <c r="A55" s="82"/>
      <c r="B55" s="63"/>
      <c r="C55" s="64"/>
      <c r="D55" s="64"/>
      <c r="E55" s="64"/>
      <c r="F55" s="64"/>
      <c r="G55" s="64"/>
    </row>
    <row r="56" spans="1:7" s="1" customFormat="1" ht="10.5" customHeight="1" x14ac:dyDescent="0.25">
      <c r="A56" s="78" t="s">
        <v>26</v>
      </c>
      <c r="B56" s="60">
        <v>2211</v>
      </c>
      <c r="C56" s="61">
        <v>1090</v>
      </c>
      <c r="D56" s="61">
        <v>1121</v>
      </c>
      <c r="E56" s="61">
        <v>298719</v>
      </c>
      <c r="F56" s="61">
        <v>148483</v>
      </c>
      <c r="G56" s="61">
        <v>150236</v>
      </c>
    </row>
    <row r="57" spans="1:7" s="1" customFormat="1" ht="10.5" customHeight="1" x14ac:dyDescent="0.25">
      <c r="A57" s="125" t="s">
        <v>57</v>
      </c>
      <c r="B57" s="62">
        <v>1611</v>
      </c>
      <c r="C57" s="15">
        <v>751</v>
      </c>
      <c r="D57" s="15">
        <v>860</v>
      </c>
      <c r="E57" s="15">
        <v>226525</v>
      </c>
      <c r="F57" s="15">
        <v>106557</v>
      </c>
      <c r="G57" s="15">
        <v>119968</v>
      </c>
    </row>
    <row r="58" spans="1:7" s="1" customFormat="1" ht="10.5" customHeight="1" x14ac:dyDescent="0.25">
      <c r="A58" s="125" t="s">
        <v>56</v>
      </c>
      <c r="B58" s="62">
        <v>600</v>
      </c>
      <c r="C58" s="15">
        <v>339</v>
      </c>
      <c r="D58" s="15">
        <v>261</v>
      </c>
      <c r="E58" s="15">
        <v>72194</v>
      </c>
      <c r="F58" s="15">
        <v>41926</v>
      </c>
      <c r="G58" s="15">
        <v>30268</v>
      </c>
    </row>
    <row r="59" spans="1:7" s="1" customFormat="1" ht="10.5" customHeight="1" x14ac:dyDescent="0.25">
      <c r="A59" s="77"/>
      <c r="B59" s="69"/>
      <c r="C59" s="70"/>
      <c r="D59" s="70"/>
      <c r="E59" s="71"/>
      <c r="F59" s="71"/>
      <c r="G59" s="64"/>
    </row>
    <row r="60" spans="1:7" s="1" customFormat="1" ht="10.5" customHeight="1" x14ac:dyDescent="0.25">
      <c r="A60" s="78" t="s">
        <v>25</v>
      </c>
      <c r="B60" s="60">
        <v>833</v>
      </c>
      <c r="C60" s="61">
        <v>447</v>
      </c>
      <c r="D60" s="61">
        <v>386</v>
      </c>
      <c r="E60" s="61">
        <v>530691</v>
      </c>
      <c r="F60" s="61">
        <v>257973</v>
      </c>
      <c r="G60" s="61">
        <v>272718</v>
      </c>
    </row>
    <row r="61" spans="1:7" s="1" customFormat="1" ht="10.5" customHeight="1" x14ac:dyDescent="0.25">
      <c r="A61" s="125" t="s">
        <v>57</v>
      </c>
      <c r="B61" s="62">
        <v>556</v>
      </c>
      <c r="C61" s="15">
        <v>297</v>
      </c>
      <c r="D61" s="15">
        <v>259</v>
      </c>
      <c r="E61" s="15">
        <v>365440</v>
      </c>
      <c r="F61" s="15">
        <v>170988</v>
      </c>
      <c r="G61" s="15">
        <v>194452</v>
      </c>
    </row>
    <row r="62" spans="1:7" s="1" customFormat="1" ht="10.5" customHeight="1" x14ac:dyDescent="0.25">
      <c r="A62" s="125" t="s">
        <v>56</v>
      </c>
      <c r="B62" s="62">
        <v>277</v>
      </c>
      <c r="C62" s="15">
        <v>150</v>
      </c>
      <c r="D62" s="15">
        <v>127</v>
      </c>
      <c r="E62" s="15">
        <v>165251</v>
      </c>
      <c r="F62" s="15">
        <v>86985</v>
      </c>
      <c r="G62" s="15">
        <v>78266</v>
      </c>
    </row>
    <row r="63" spans="1:7" s="1" customFormat="1" ht="3.75" customHeight="1" thickBot="1" x14ac:dyDescent="0.3">
      <c r="A63" s="83"/>
      <c r="B63" s="73"/>
      <c r="C63" s="74"/>
      <c r="D63" s="75"/>
      <c r="E63" s="76"/>
      <c r="F63" s="76"/>
      <c r="G63" s="76"/>
    </row>
    <row r="64" spans="1:7" s="1" customFormat="1" ht="7.5" customHeight="1" x14ac:dyDescent="0.25">
      <c r="A64" s="48"/>
      <c r="B64" s="7"/>
      <c r="C64" s="7"/>
      <c r="D64" s="6"/>
      <c r="E64" s="28"/>
      <c r="F64" s="28"/>
      <c r="G64" s="7" t="s">
        <v>83</v>
      </c>
    </row>
    <row r="65" spans="1:7" ht="12.75" customHeight="1" x14ac:dyDescent="0.2">
      <c r="A65" s="205" t="str">
        <f>A$1</f>
        <v>CUADRO Nº 2.4</v>
      </c>
      <c r="B65" s="205"/>
      <c r="C65" s="205"/>
      <c r="D65" s="205"/>
      <c r="E65" s="205"/>
      <c r="F65" s="205"/>
      <c r="G65" s="205"/>
    </row>
    <row r="66" spans="1:7" ht="20.25" customHeight="1" x14ac:dyDescent="0.2">
      <c r="A66" s="206" t="str">
        <f>A$2</f>
        <v>PERÚ: POBLACIÓN CENSADA INDÍGENA U ORIGINARIA DE LA AMAZONÍA, BLANCA(O), MESTIZA(O) Y OTRA(O) DE 12 Y MÁS AÑOS DE EDAD, POR SEXO, SEGÚN CONDICIÓN DE SEGURO DE SALUD, ÁREA DE RESIDENCIA Y DEPARTAMENTO, 2017</v>
      </c>
      <c r="B66" s="206"/>
      <c r="C66" s="206"/>
      <c r="D66" s="206"/>
      <c r="E66" s="206"/>
      <c r="F66" s="206"/>
      <c r="G66" s="206"/>
    </row>
    <row r="67" spans="1:7" ht="12.75" customHeight="1" x14ac:dyDescent="0.25">
      <c r="A67" s="215" t="str">
        <f>A$3</f>
        <v>(Cifras absolutas)</v>
      </c>
      <c r="B67" s="215"/>
      <c r="C67" s="215"/>
      <c r="D67" s="215"/>
      <c r="E67" s="215"/>
      <c r="F67" s="215"/>
      <c r="G67" s="215"/>
    </row>
    <row r="68" spans="1:7" ht="10.5" customHeight="1" thickBot="1" x14ac:dyDescent="0.3">
      <c r="A68" s="47"/>
      <c r="B68" s="47"/>
      <c r="C68" s="47"/>
      <c r="D68" s="47"/>
      <c r="E68" s="47"/>
      <c r="F68" s="47"/>
      <c r="G68" s="6"/>
    </row>
    <row r="69" spans="1:7" ht="12.75" customHeight="1" thickBot="1" x14ac:dyDescent="0.25">
      <c r="A69" s="208" t="str">
        <f>A$5</f>
        <v>Condición de seguro de salud / Área de residencia y departamento</v>
      </c>
      <c r="B69" s="211" t="str">
        <f>B$5</f>
        <v>Indígena u originaria de la Amazonía</v>
      </c>
      <c r="C69" s="211"/>
      <c r="D69" s="212"/>
      <c r="E69" s="210" t="s">
        <v>116</v>
      </c>
      <c r="F69" s="211"/>
      <c r="G69" s="212"/>
    </row>
    <row r="70" spans="1:7" ht="12.75" customHeight="1" thickBot="1" x14ac:dyDescent="0.25">
      <c r="A70" s="209"/>
      <c r="B70" s="56" t="str">
        <f>B$6</f>
        <v>Total</v>
      </c>
      <c r="C70" s="56" t="str">
        <f t="shared" ref="C70:G70" si="0">C$6</f>
        <v>Hombre</v>
      </c>
      <c r="D70" s="124" t="str">
        <f t="shared" si="0"/>
        <v>Mujer</v>
      </c>
      <c r="E70" s="53" t="str">
        <f t="shared" si="0"/>
        <v>Total</v>
      </c>
      <c r="F70" s="54" t="str">
        <f t="shared" si="0"/>
        <v>Hombre</v>
      </c>
      <c r="G70" s="55" t="str">
        <f t="shared" si="0"/>
        <v>Mujer</v>
      </c>
    </row>
    <row r="71" spans="1:7" ht="3.75" customHeight="1" x14ac:dyDescent="0.25">
      <c r="A71" s="77"/>
      <c r="B71" s="102"/>
      <c r="C71" s="8"/>
      <c r="D71" s="8"/>
      <c r="G71" s="1"/>
    </row>
    <row r="72" spans="1:7" s="1" customFormat="1" ht="10.5" customHeight="1" x14ac:dyDescent="0.25">
      <c r="A72" s="78" t="s">
        <v>24</v>
      </c>
      <c r="B72" s="60">
        <v>35920</v>
      </c>
      <c r="C72" s="61">
        <v>17891</v>
      </c>
      <c r="D72" s="61">
        <v>18029</v>
      </c>
      <c r="E72" s="61">
        <v>582274</v>
      </c>
      <c r="F72" s="61">
        <v>282092</v>
      </c>
      <c r="G72" s="61">
        <v>300182</v>
      </c>
    </row>
    <row r="73" spans="1:7" s="1" customFormat="1" ht="10.5" customHeight="1" x14ac:dyDescent="0.25">
      <c r="A73" s="125" t="s">
        <v>57</v>
      </c>
      <c r="B73" s="62">
        <v>28444</v>
      </c>
      <c r="C73" s="15">
        <v>13781</v>
      </c>
      <c r="D73" s="15">
        <v>14663</v>
      </c>
      <c r="E73" s="15">
        <v>377679</v>
      </c>
      <c r="F73" s="15">
        <v>173833</v>
      </c>
      <c r="G73" s="15">
        <v>203846</v>
      </c>
    </row>
    <row r="74" spans="1:7" s="1" customFormat="1" ht="10.5" customHeight="1" x14ac:dyDescent="0.25">
      <c r="A74" s="125" t="s">
        <v>56</v>
      </c>
      <c r="B74" s="62">
        <v>7476</v>
      </c>
      <c r="C74" s="15">
        <v>4110</v>
      </c>
      <c r="D74" s="15">
        <v>3366</v>
      </c>
      <c r="E74" s="15">
        <v>204595</v>
      </c>
      <c r="F74" s="15">
        <v>108259</v>
      </c>
      <c r="G74" s="15">
        <v>96336</v>
      </c>
    </row>
    <row r="75" spans="1:7" s="1" customFormat="1" ht="10.5" customHeight="1" x14ac:dyDescent="0.25">
      <c r="A75" s="77"/>
      <c r="B75" s="63"/>
      <c r="C75" s="64"/>
      <c r="D75" s="64"/>
      <c r="E75" s="64"/>
      <c r="F75" s="64"/>
      <c r="G75" s="64"/>
    </row>
    <row r="76" spans="1:7" s="1" customFormat="1" ht="10.5" customHeight="1" x14ac:dyDescent="0.25">
      <c r="A76" s="78" t="s">
        <v>23</v>
      </c>
      <c r="B76" s="60">
        <v>806</v>
      </c>
      <c r="C76" s="61">
        <v>423</v>
      </c>
      <c r="D76" s="61">
        <v>383</v>
      </c>
      <c r="E76" s="61">
        <v>1233787</v>
      </c>
      <c r="F76" s="61">
        <v>588946</v>
      </c>
      <c r="G76" s="61">
        <v>644841</v>
      </c>
    </row>
    <row r="77" spans="1:7" s="1" customFormat="1" ht="10.5" customHeight="1" x14ac:dyDescent="0.25">
      <c r="A77" s="125" t="s">
        <v>57</v>
      </c>
      <c r="B77" s="62">
        <v>540</v>
      </c>
      <c r="C77" s="15">
        <v>287</v>
      </c>
      <c r="D77" s="15">
        <v>253</v>
      </c>
      <c r="E77" s="15">
        <v>880685</v>
      </c>
      <c r="F77" s="15">
        <v>405131</v>
      </c>
      <c r="G77" s="15">
        <v>475554</v>
      </c>
    </row>
    <row r="78" spans="1:7" s="1" customFormat="1" ht="10.5" customHeight="1" x14ac:dyDescent="0.25">
      <c r="A78" s="125" t="s">
        <v>56</v>
      </c>
      <c r="B78" s="62">
        <v>266</v>
      </c>
      <c r="C78" s="15">
        <v>136</v>
      </c>
      <c r="D78" s="15">
        <v>130</v>
      </c>
      <c r="E78" s="15">
        <v>353102</v>
      </c>
      <c r="F78" s="15">
        <v>183815</v>
      </c>
      <c r="G78" s="15">
        <v>169287</v>
      </c>
    </row>
    <row r="79" spans="1:7" s="1" customFormat="1" ht="10.5" customHeight="1" x14ac:dyDescent="0.25">
      <c r="A79" s="77"/>
      <c r="B79" s="63"/>
      <c r="C79" s="64"/>
      <c r="D79" s="64"/>
      <c r="E79" s="64"/>
      <c r="F79" s="64"/>
      <c r="G79" s="64"/>
    </row>
    <row r="80" spans="1:7" s="1" customFormat="1" ht="10.5" customHeight="1" x14ac:dyDescent="0.25">
      <c r="A80" s="78" t="s">
        <v>22</v>
      </c>
      <c r="B80" s="60">
        <v>700</v>
      </c>
      <c r="C80" s="61">
        <v>313</v>
      </c>
      <c r="D80" s="61">
        <v>387</v>
      </c>
      <c r="E80" s="61">
        <v>815454</v>
      </c>
      <c r="F80" s="61">
        <v>384763</v>
      </c>
      <c r="G80" s="61">
        <v>430691</v>
      </c>
    </row>
    <row r="81" spans="1:7" s="1" customFormat="1" ht="10.5" customHeight="1" x14ac:dyDescent="0.25">
      <c r="A81" s="125" t="s">
        <v>57</v>
      </c>
      <c r="B81" s="62">
        <v>468</v>
      </c>
      <c r="C81" s="15">
        <v>202</v>
      </c>
      <c r="D81" s="15">
        <v>266</v>
      </c>
      <c r="E81" s="15">
        <v>603105</v>
      </c>
      <c r="F81" s="15">
        <v>272001</v>
      </c>
      <c r="G81" s="15">
        <v>331104</v>
      </c>
    </row>
    <row r="82" spans="1:7" s="1" customFormat="1" ht="10.5" customHeight="1" x14ac:dyDescent="0.25">
      <c r="A82" s="125" t="s">
        <v>56</v>
      </c>
      <c r="B82" s="62">
        <v>232</v>
      </c>
      <c r="C82" s="15">
        <v>111</v>
      </c>
      <c r="D82" s="15">
        <v>121</v>
      </c>
      <c r="E82" s="15">
        <v>212349</v>
      </c>
      <c r="F82" s="15">
        <v>112762</v>
      </c>
      <c r="G82" s="15">
        <v>99587</v>
      </c>
    </row>
    <row r="83" spans="1:7" s="1" customFormat="1" ht="10.5" customHeight="1" x14ac:dyDescent="0.25">
      <c r="A83" s="82"/>
      <c r="B83" s="63"/>
      <c r="C83" s="64"/>
      <c r="D83" s="64"/>
      <c r="E83" s="64"/>
      <c r="F83" s="64"/>
      <c r="G83" s="64"/>
    </row>
    <row r="84" spans="1:7" s="1" customFormat="1" ht="10.5" customHeight="1" x14ac:dyDescent="0.25">
      <c r="A84" s="78" t="s">
        <v>21</v>
      </c>
      <c r="B84" s="60">
        <v>15505</v>
      </c>
      <c r="C84" s="61">
        <v>7333</v>
      </c>
      <c r="D84" s="61">
        <v>8172</v>
      </c>
      <c r="E84" s="61">
        <v>6215088</v>
      </c>
      <c r="F84" s="61">
        <v>2986258</v>
      </c>
      <c r="G84" s="61">
        <v>3228830</v>
      </c>
    </row>
    <row r="85" spans="1:7" s="1" customFormat="1" ht="10.5" customHeight="1" x14ac:dyDescent="0.25">
      <c r="A85" s="125" t="s">
        <v>57</v>
      </c>
      <c r="B85" s="62">
        <v>10842</v>
      </c>
      <c r="C85" s="15">
        <v>4915</v>
      </c>
      <c r="D85" s="15">
        <v>5927</v>
      </c>
      <c r="E85" s="15">
        <v>4448018</v>
      </c>
      <c r="F85" s="15">
        <v>2054790</v>
      </c>
      <c r="G85" s="15">
        <v>2393228</v>
      </c>
    </row>
    <row r="86" spans="1:7" s="1" customFormat="1" ht="10.5" customHeight="1" x14ac:dyDescent="0.25">
      <c r="A86" s="125" t="s">
        <v>56</v>
      </c>
      <c r="B86" s="62">
        <v>4663</v>
      </c>
      <c r="C86" s="15">
        <v>2418</v>
      </c>
      <c r="D86" s="15">
        <v>2245</v>
      </c>
      <c r="E86" s="15">
        <v>1767070</v>
      </c>
      <c r="F86" s="15">
        <v>931468</v>
      </c>
      <c r="G86" s="15">
        <v>835602</v>
      </c>
    </row>
    <row r="87" spans="1:7" s="1" customFormat="1" ht="10.5" customHeight="1" x14ac:dyDescent="0.25">
      <c r="A87" s="82"/>
      <c r="B87" s="69"/>
      <c r="C87" s="70"/>
      <c r="D87" s="70"/>
      <c r="E87" s="71"/>
      <c r="F87" s="71"/>
      <c r="G87" s="64"/>
    </row>
    <row r="88" spans="1:7" s="1" customFormat="1" ht="10.5" customHeight="1" x14ac:dyDescent="0.25">
      <c r="A88" s="78" t="s">
        <v>20</v>
      </c>
      <c r="B88" s="60">
        <v>51722</v>
      </c>
      <c r="C88" s="61">
        <v>26000</v>
      </c>
      <c r="D88" s="61">
        <v>25722</v>
      </c>
      <c r="E88" s="61">
        <v>535664</v>
      </c>
      <c r="F88" s="61">
        <v>266807</v>
      </c>
      <c r="G88" s="61">
        <v>268857</v>
      </c>
    </row>
    <row r="89" spans="1:7" s="1" customFormat="1" ht="10.5" customHeight="1" x14ac:dyDescent="0.25">
      <c r="A89" s="125" t="s">
        <v>57</v>
      </c>
      <c r="B89" s="62">
        <v>44028</v>
      </c>
      <c r="C89" s="15">
        <v>21890</v>
      </c>
      <c r="D89" s="15">
        <v>22138</v>
      </c>
      <c r="E89" s="15">
        <v>445766</v>
      </c>
      <c r="F89" s="15">
        <v>213330</v>
      </c>
      <c r="G89" s="15">
        <v>232436</v>
      </c>
    </row>
    <row r="90" spans="1:7" s="1" customFormat="1" ht="10.5" customHeight="1" x14ac:dyDescent="0.25">
      <c r="A90" s="125" t="s">
        <v>56</v>
      </c>
      <c r="B90" s="62">
        <v>7694</v>
      </c>
      <c r="C90" s="15">
        <v>4110</v>
      </c>
      <c r="D90" s="15">
        <v>3584</v>
      </c>
      <c r="E90" s="15">
        <v>89898</v>
      </c>
      <c r="F90" s="15">
        <v>53477</v>
      </c>
      <c r="G90" s="15">
        <v>36421</v>
      </c>
    </row>
    <row r="91" spans="1:7" s="1" customFormat="1" ht="10.5" customHeight="1" x14ac:dyDescent="0.25">
      <c r="A91" s="82"/>
      <c r="B91" s="63"/>
      <c r="C91" s="64"/>
      <c r="D91" s="64"/>
      <c r="E91" s="64"/>
      <c r="F91" s="64"/>
      <c r="G91" s="64"/>
    </row>
    <row r="92" spans="1:7" s="1" customFormat="1" ht="10.5" customHeight="1" x14ac:dyDescent="0.25">
      <c r="A92" s="81" t="s">
        <v>19</v>
      </c>
      <c r="B92" s="60">
        <v>3494</v>
      </c>
      <c r="C92" s="61">
        <v>1769</v>
      </c>
      <c r="D92" s="61">
        <v>1725</v>
      </c>
      <c r="E92" s="61">
        <v>60471</v>
      </c>
      <c r="F92" s="61">
        <v>31682</v>
      </c>
      <c r="G92" s="61">
        <v>28789</v>
      </c>
    </row>
    <row r="93" spans="1:7" s="1" customFormat="1" ht="10.5" customHeight="1" x14ac:dyDescent="0.25">
      <c r="A93" s="125" t="s">
        <v>57</v>
      </c>
      <c r="B93" s="62">
        <v>2600</v>
      </c>
      <c r="C93" s="15">
        <v>1256</v>
      </c>
      <c r="D93" s="15">
        <v>1344</v>
      </c>
      <c r="E93" s="15">
        <v>40038</v>
      </c>
      <c r="F93" s="15">
        <v>19626</v>
      </c>
      <c r="G93" s="15">
        <v>20412</v>
      </c>
    </row>
    <row r="94" spans="1:7" s="1" customFormat="1" ht="10.5" customHeight="1" x14ac:dyDescent="0.25">
      <c r="A94" s="125" t="s">
        <v>56</v>
      </c>
      <c r="B94" s="62">
        <v>894</v>
      </c>
      <c r="C94" s="15">
        <v>513</v>
      </c>
      <c r="D94" s="15">
        <v>381</v>
      </c>
      <c r="E94" s="15">
        <v>20433</v>
      </c>
      <c r="F94" s="15">
        <v>12056</v>
      </c>
      <c r="G94" s="15">
        <v>8377</v>
      </c>
    </row>
    <row r="95" spans="1:7" s="1" customFormat="1" ht="10.5" customHeight="1" x14ac:dyDescent="0.25">
      <c r="A95" s="80"/>
      <c r="B95" s="63"/>
      <c r="C95" s="64"/>
      <c r="D95" s="64"/>
      <c r="E95" s="64"/>
      <c r="F95" s="64"/>
      <c r="G95" s="64"/>
    </row>
    <row r="96" spans="1:7" s="1" customFormat="1" ht="10.5" customHeight="1" x14ac:dyDescent="0.25">
      <c r="A96" s="78" t="s">
        <v>12</v>
      </c>
      <c r="B96" s="60">
        <v>128</v>
      </c>
      <c r="C96" s="61">
        <v>62</v>
      </c>
      <c r="D96" s="61">
        <v>66</v>
      </c>
      <c r="E96" s="61">
        <v>86216</v>
      </c>
      <c r="F96" s="61">
        <v>43212</v>
      </c>
      <c r="G96" s="61">
        <v>43004</v>
      </c>
    </row>
    <row r="97" spans="1:7" s="1" customFormat="1" ht="10.5" customHeight="1" x14ac:dyDescent="0.25">
      <c r="A97" s="125" t="s">
        <v>57</v>
      </c>
      <c r="B97" s="62">
        <v>100</v>
      </c>
      <c r="C97" s="15">
        <v>48</v>
      </c>
      <c r="D97" s="15">
        <v>52</v>
      </c>
      <c r="E97" s="15">
        <v>66347</v>
      </c>
      <c r="F97" s="15">
        <v>32407</v>
      </c>
      <c r="G97" s="15">
        <v>33940</v>
      </c>
    </row>
    <row r="98" spans="1:7" s="1" customFormat="1" ht="10.5" customHeight="1" x14ac:dyDescent="0.25">
      <c r="A98" s="125" t="s">
        <v>56</v>
      </c>
      <c r="B98" s="62">
        <v>28</v>
      </c>
      <c r="C98" s="15">
        <v>14</v>
      </c>
      <c r="D98" s="15">
        <v>14</v>
      </c>
      <c r="E98" s="15">
        <v>19869</v>
      </c>
      <c r="F98" s="15">
        <v>10805</v>
      </c>
      <c r="G98" s="15">
        <v>9064</v>
      </c>
    </row>
    <row r="99" spans="1:7" s="1" customFormat="1" ht="10.5" customHeight="1" x14ac:dyDescent="0.25">
      <c r="A99" s="82"/>
      <c r="B99" s="63"/>
      <c r="C99" s="64"/>
      <c r="D99" s="64"/>
      <c r="E99" s="64"/>
      <c r="F99" s="64"/>
      <c r="G99" s="64"/>
    </row>
    <row r="100" spans="1:7" s="1" customFormat="1" ht="10.5" customHeight="1" x14ac:dyDescent="0.25">
      <c r="A100" s="78" t="s">
        <v>11</v>
      </c>
      <c r="B100" s="60">
        <v>12284</v>
      </c>
      <c r="C100" s="61">
        <v>6110</v>
      </c>
      <c r="D100" s="61">
        <v>6174</v>
      </c>
      <c r="E100" s="61">
        <v>107909</v>
      </c>
      <c r="F100" s="61">
        <v>55064</v>
      </c>
      <c r="G100" s="61">
        <v>52845</v>
      </c>
    </row>
    <row r="101" spans="1:7" s="1" customFormat="1" ht="10.5" customHeight="1" x14ac:dyDescent="0.25">
      <c r="A101" s="125" t="s">
        <v>57</v>
      </c>
      <c r="B101" s="62">
        <v>9895</v>
      </c>
      <c r="C101" s="15">
        <v>4680</v>
      </c>
      <c r="D101" s="15">
        <v>5215</v>
      </c>
      <c r="E101" s="15">
        <v>80914</v>
      </c>
      <c r="F101" s="15">
        <v>40048</v>
      </c>
      <c r="G101" s="15">
        <v>40866</v>
      </c>
    </row>
    <row r="102" spans="1:7" s="1" customFormat="1" ht="10.5" customHeight="1" x14ac:dyDescent="0.25">
      <c r="A102" s="125" t="s">
        <v>56</v>
      </c>
      <c r="B102" s="62">
        <v>2389</v>
      </c>
      <c r="C102" s="15">
        <v>1430</v>
      </c>
      <c r="D102" s="15">
        <v>959</v>
      </c>
      <c r="E102" s="15">
        <v>26995</v>
      </c>
      <c r="F102" s="15">
        <v>15016</v>
      </c>
      <c r="G102" s="15">
        <v>11979</v>
      </c>
    </row>
    <row r="103" spans="1:7" s="1" customFormat="1" ht="10.5" customHeight="1" x14ac:dyDescent="0.25">
      <c r="A103" s="82"/>
      <c r="B103" s="63"/>
      <c r="C103" s="64"/>
      <c r="D103" s="64"/>
      <c r="E103" s="64"/>
      <c r="F103" s="64"/>
      <c r="G103" s="64"/>
    </row>
    <row r="104" spans="1:7" s="1" customFormat="1" ht="10.5" customHeight="1" x14ac:dyDescent="0.25">
      <c r="A104" s="78" t="s">
        <v>10</v>
      </c>
      <c r="B104" s="60">
        <v>428</v>
      </c>
      <c r="C104" s="61">
        <v>222</v>
      </c>
      <c r="D104" s="61">
        <v>206</v>
      </c>
      <c r="E104" s="61">
        <v>1252467</v>
      </c>
      <c r="F104" s="61">
        <v>607101</v>
      </c>
      <c r="G104" s="61">
        <v>645366</v>
      </c>
    </row>
    <row r="105" spans="1:7" s="1" customFormat="1" ht="10.5" customHeight="1" x14ac:dyDescent="0.25">
      <c r="A105" s="125" t="s">
        <v>57</v>
      </c>
      <c r="B105" s="62">
        <v>298</v>
      </c>
      <c r="C105" s="15">
        <v>150</v>
      </c>
      <c r="D105" s="15">
        <v>148</v>
      </c>
      <c r="E105" s="15">
        <v>923870</v>
      </c>
      <c r="F105" s="15">
        <v>431537</v>
      </c>
      <c r="G105" s="15">
        <v>492333</v>
      </c>
    </row>
    <row r="106" spans="1:7" s="1" customFormat="1" ht="10.5" customHeight="1" x14ac:dyDescent="0.25">
      <c r="A106" s="125" t="s">
        <v>56</v>
      </c>
      <c r="B106" s="62">
        <v>130</v>
      </c>
      <c r="C106" s="15">
        <v>72</v>
      </c>
      <c r="D106" s="15">
        <v>58</v>
      </c>
      <c r="E106" s="15">
        <v>328597</v>
      </c>
      <c r="F106" s="15">
        <v>175564</v>
      </c>
      <c r="G106" s="15">
        <v>153033</v>
      </c>
    </row>
    <row r="107" spans="1:7" s="1" customFormat="1" ht="10.5" customHeight="1" x14ac:dyDescent="0.25">
      <c r="A107" s="82"/>
      <c r="B107" s="63"/>
      <c r="C107" s="64"/>
      <c r="D107" s="64"/>
      <c r="E107" s="64"/>
      <c r="F107" s="64"/>
      <c r="G107" s="64"/>
    </row>
    <row r="108" spans="1:7" s="1" customFormat="1" ht="10.5" customHeight="1" x14ac:dyDescent="0.25">
      <c r="A108" s="78" t="s">
        <v>9</v>
      </c>
      <c r="B108" s="60">
        <v>157</v>
      </c>
      <c r="C108" s="61">
        <v>95</v>
      </c>
      <c r="D108" s="61">
        <v>62</v>
      </c>
      <c r="E108" s="61">
        <v>86222</v>
      </c>
      <c r="F108" s="61">
        <v>45192</v>
      </c>
      <c r="G108" s="61">
        <v>41030</v>
      </c>
    </row>
    <row r="109" spans="1:7" s="1" customFormat="1" ht="10.5" customHeight="1" x14ac:dyDescent="0.25">
      <c r="A109" s="125" t="s">
        <v>57</v>
      </c>
      <c r="B109" s="62">
        <v>82</v>
      </c>
      <c r="C109" s="15">
        <v>49</v>
      </c>
      <c r="D109" s="15">
        <v>33</v>
      </c>
      <c r="E109" s="15">
        <v>47352</v>
      </c>
      <c r="F109" s="15">
        <v>23968</v>
      </c>
      <c r="G109" s="15">
        <v>23384</v>
      </c>
    </row>
    <row r="110" spans="1:7" s="1" customFormat="1" ht="10.5" customHeight="1" x14ac:dyDescent="0.25">
      <c r="A110" s="125" t="s">
        <v>56</v>
      </c>
      <c r="B110" s="62">
        <v>75</v>
      </c>
      <c r="C110" s="15">
        <v>46</v>
      </c>
      <c r="D110" s="15">
        <v>29</v>
      </c>
      <c r="E110" s="15">
        <v>38870</v>
      </c>
      <c r="F110" s="15">
        <v>21224</v>
      </c>
      <c r="G110" s="15">
        <v>17646</v>
      </c>
    </row>
    <row r="111" spans="1:7" s="1" customFormat="1" ht="10.5" customHeight="1" x14ac:dyDescent="0.25">
      <c r="A111" s="82"/>
      <c r="B111" s="69"/>
      <c r="C111" s="70"/>
      <c r="D111" s="70"/>
      <c r="E111" s="71"/>
      <c r="F111" s="71"/>
      <c r="G111" s="64"/>
    </row>
    <row r="112" spans="1:7" s="1" customFormat="1" ht="10.5" customHeight="1" x14ac:dyDescent="0.25">
      <c r="A112" s="78" t="s">
        <v>8</v>
      </c>
      <c r="B112" s="60">
        <v>4764</v>
      </c>
      <c r="C112" s="61">
        <v>2351</v>
      </c>
      <c r="D112" s="61">
        <v>2413</v>
      </c>
      <c r="E112" s="61">
        <v>541008</v>
      </c>
      <c r="F112" s="61">
        <v>274725</v>
      </c>
      <c r="G112" s="61">
        <v>266283</v>
      </c>
    </row>
    <row r="113" spans="1:7" s="1" customFormat="1" ht="10.5" customHeight="1" x14ac:dyDescent="0.25">
      <c r="A113" s="125" t="s">
        <v>57</v>
      </c>
      <c r="B113" s="62">
        <v>3386</v>
      </c>
      <c r="C113" s="15">
        <v>1614</v>
      </c>
      <c r="D113" s="15">
        <v>1772</v>
      </c>
      <c r="E113" s="15">
        <v>436309</v>
      </c>
      <c r="F113" s="15">
        <v>212748</v>
      </c>
      <c r="G113" s="15">
        <v>223561</v>
      </c>
    </row>
    <row r="114" spans="1:7" s="1" customFormat="1" ht="10.5" customHeight="1" x14ac:dyDescent="0.25">
      <c r="A114" s="125" t="s">
        <v>56</v>
      </c>
      <c r="B114" s="62">
        <v>1378</v>
      </c>
      <c r="C114" s="15">
        <v>737</v>
      </c>
      <c r="D114" s="15">
        <v>641</v>
      </c>
      <c r="E114" s="15">
        <v>104699</v>
      </c>
      <c r="F114" s="15">
        <v>61977</v>
      </c>
      <c r="G114" s="15">
        <v>42722</v>
      </c>
    </row>
    <row r="115" spans="1:7" s="1" customFormat="1" ht="10.5" customHeight="1" x14ac:dyDescent="0.25">
      <c r="A115" s="82"/>
      <c r="B115" s="63"/>
      <c r="C115" s="64"/>
      <c r="D115" s="64"/>
      <c r="E115" s="64"/>
      <c r="F115" s="64"/>
      <c r="G115" s="64"/>
    </row>
    <row r="116" spans="1:7" s="1" customFormat="1" ht="10.5" customHeight="1" x14ac:dyDescent="0.25">
      <c r="A116" s="78" t="s">
        <v>7</v>
      </c>
      <c r="B116" s="60">
        <v>248</v>
      </c>
      <c r="C116" s="61">
        <v>132</v>
      </c>
      <c r="D116" s="61">
        <v>116</v>
      </c>
      <c r="E116" s="61">
        <v>155775</v>
      </c>
      <c r="F116" s="61">
        <v>77169</v>
      </c>
      <c r="G116" s="61">
        <v>78606</v>
      </c>
    </row>
    <row r="117" spans="1:7" s="1" customFormat="1" ht="10.5" customHeight="1" x14ac:dyDescent="0.25">
      <c r="A117" s="125" t="s">
        <v>57</v>
      </c>
      <c r="B117" s="62">
        <v>166</v>
      </c>
      <c r="C117" s="15">
        <v>86</v>
      </c>
      <c r="D117" s="15">
        <v>80</v>
      </c>
      <c r="E117" s="15">
        <v>93408</v>
      </c>
      <c r="F117" s="15">
        <v>44284</v>
      </c>
      <c r="G117" s="15">
        <v>49124</v>
      </c>
    </row>
    <row r="118" spans="1:7" s="1" customFormat="1" ht="10.5" customHeight="1" x14ac:dyDescent="0.25">
      <c r="A118" s="125" t="s">
        <v>56</v>
      </c>
      <c r="B118" s="62">
        <v>82</v>
      </c>
      <c r="C118" s="15">
        <v>46</v>
      </c>
      <c r="D118" s="15">
        <v>36</v>
      </c>
      <c r="E118" s="15">
        <v>62367</v>
      </c>
      <c r="F118" s="15">
        <v>32885</v>
      </c>
      <c r="G118" s="15">
        <v>29482</v>
      </c>
    </row>
    <row r="119" spans="1:7" s="1" customFormat="1" ht="10.5" customHeight="1" x14ac:dyDescent="0.25">
      <c r="A119" s="77"/>
      <c r="B119" s="63"/>
      <c r="C119" s="64"/>
      <c r="D119" s="64"/>
      <c r="E119" s="64"/>
      <c r="F119" s="64"/>
      <c r="G119" s="64"/>
    </row>
    <row r="120" spans="1:7" s="1" customFormat="1" ht="10.5" customHeight="1" x14ac:dyDescent="0.25">
      <c r="A120" s="78" t="s">
        <v>6</v>
      </c>
      <c r="B120" s="60">
        <v>114</v>
      </c>
      <c r="C120" s="61">
        <v>77</v>
      </c>
      <c r="D120" s="61">
        <v>37</v>
      </c>
      <c r="E120" s="61">
        <v>147990</v>
      </c>
      <c r="F120" s="61">
        <v>73395</v>
      </c>
      <c r="G120" s="61">
        <v>74595</v>
      </c>
    </row>
    <row r="121" spans="1:7" s="1" customFormat="1" ht="10.5" customHeight="1" x14ac:dyDescent="0.25">
      <c r="A121" s="125" t="s">
        <v>57</v>
      </c>
      <c r="B121" s="62">
        <v>92</v>
      </c>
      <c r="C121" s="15">
        <v>60</v>
      </c>
      <c r="D121" s="15">
        <v>32</v>
      </c>
      <c r="E121" s="15">
        <v>121851</v>
      </c>
      <c r="F121" s="15">
        <v>58529</v>
      </c>
      <c r="G121" s="15">
        <v>63322</v>
      </c>
    </row>
    <row r="122" spans="1:7" s="1" customFormat="1" ht="10.5" customHeight="1" x14ac:dyDescent="0.25">
      <c r="A122" s="125" t="s">
        <v>56</v>
      </c>
      <c r="B122" s="62">
        <v>22</v>
      </c>
      <c r="C122" s="15">
        <v>17</v>
      </c>
      <c r="D122" s="15">
        <v>5</v>
      </c>
      <c r="E122" s="15">
        <v>26139</v>
      </c>
      <c r="F122" s="15">
        <v>14866</v>
      </c>
      <c r="G122" s="15">
        <v>11273</v>
      </c>
    </row>
    <row r="123" spans="1:7" s="1" customFormat="1" ht="10.5" customHeight="1" x14ac:dyDescent="0.25">
      <c r="A123" s="82"/>
      <c r="B123" s="63"/>
      <c r="C123" s="64"/>
      <c r="D123" s="64"/>
      <c r="E123" s="64"/>
      <c r="F123" s="64"/>
      <c r="G123" s="64"/>
    </row>
    <row r="124" spans="1:7" s="1" customFormat="1" ht="10.5" customHeight="1" x14ac:dyDescent="0.25">
      <c r="A124" s="78" t="s">
        <v>5</v>
      </c>
      <c r="B124" s="60">
        <v>36774</v>
      </c>
      <c r="C124" s="61">
        <v>17978</v>
      </c>
      <c r="D124" s="61">
        <v>18796</v>
      </c>
      <c r="E124" s="61">
        <v>293650</v>
      </c>
      <c r="F124" s="61">
        <v>147011</v>
      </c>
      <c r="G124" s="61">
        <v>146639</v>
      </c>
    </row>
    <row r="125" spans="1:7" s="1" customFormat="1" ht="10.5" customHeight="1" x14ac:dyDescent="0.25">
      <c r="A125" s="125" t="s">
        <v>57</v>
      </c>
      <c r="B125" s="62">
        <v>28695</v>
      </c>
      <c r="C125" s="15">
        <v>13552</v>
      </c>
      <c r="D125" s="15">
        <v>15143</v>
      </c>
      <c r="E125" s="15">
        <v>208775</v>
      </c>
      <c r="F125" s="15">
        <v>96825</v>
      </c>
      <c r="G125" s="15">
        <v>111950</v>
      </c>
    </row>
    <row r="126" spans="1:7" s="1" customFormat="1" ht="10.5" customHeight="1" x14ac:dyDescent="0.25">
      <c r="A126" s="125" t="s">
        <v>56</v>
      </c>
      <c r="B126" s="62">
        <v>8079</v>
      </c>
      <c r="C126" s="15">
        <v>4426</v>
      </c>
      <c r="D126" s="15">
        <v>3653</v>
      </c>
      <c r="E126" s="15">
        <v>84875</v>
      </c>
      <c r="F126" s="15">
        <v>50186</v>
      </c>
      <c r="G126" s="15">
        <v>34689</v>
      </c>
    </row>
    <row r="127" spans="1:7" s="1" customFormat="1" ht="10.5" customHeight="1" x14ac:dyDescent="0.25">
      <c r="A127" s="82"/>
      <c r="B127" s="69"/>
      <c r="C127" s="70"/>
      <c r="D127" s="70"/>
      <c r="E127" s="71"/>
      <c r="F127" s="71"/>
      <c r="G127" s="64"/>
    </row>
    <row r="128" spans="1:7" s="1" customFormat="1" ht="10.5" customHeight="1" x14ac:dyDescent="0.25">
      <c r="A128" s="113" t="s">
        <v>129</v>
      </c>
      <c r="B128" s="66">
        <v>14989</v>
      </c>
      <c r="C128" s="67">
        <v>7062</v>
      </c>
      <c r="D128" s="67">
        <v>7927</v>
      </c>
      <c r="E128" s="67">
        <v>5648599</v>
      </c>
      <c r="F128" s="67">
        <v>2703699</v>
      </c>
      <c r="G128" s="67">
        <v>2944900</v>
      </c>
    </row>
    <row r="129" spans="1:7" s="1" customFormat="1" ht="10.5" customHeight="1" x14ac:dyDescent="0.25">
      <c r="A129" s="125" t="s">
        <v>57</v>
      </c>
      <c r="B129" s="62">
        <v>10464</v>
      </c>
      <c r="C129" s="15">
        <v>4735</v>
      </c>
      <c r="D129" s="15">
        <v>5729</v>
      </c>
      <c r="E129" s="15">
        <v>4034913</v>
      </c>
      <c r="F129" s="15">
        <v>1857120</v>
      </c>
      <c r="G129" s="15">
        <v>2177793</v>
      </c>
    </row>
    <row r="130" spans="1:7" s="1" customFormat="1" ht="10.5" customHeight="1" x14ac:dyDescent="0.25">
      <c r="A130" s="125" t="s">
        <v>56</v>
      </c>
      <c r="B130" s="62">
        <v>4525</v>
      </c>
      <c r="C130" s="15">
        <v>2327</v>
      </c>
      <c r="D130" s="15">
        <v>2198</v>
      </c>
      <c r="E130" s="15">
        <v>1613686</v>
      </c>
      <c r="F130" s="15">
        <v>846579</v>
      </c>
      <c r="G130" s="15">
        <v>767107</v>
      </c>
    </row>
    <row r="131" spans="1:7" s="1" customFormat="1" ht="3.75" customHeight="1" thickBot="1" x14ac:dyDescent="0.3">
      <c r="A131" s="83"/>
      <c r="B131" s="73"/>
      <c r="C131" s="74"/>
      <c r="D131" s="75"/>
      <c r="E131" s="76"/>
      <c r="F131" s="76"/>
      <c r="G131" s="76"/>
    </row>
    <row r="132" spans="1:7" s="1" customFormat="1" ht="7.5" customHeight="1" x14ac:dyDescent="0.25">
      <c r="A132" s="48"/>
      <c r="B132" s="7"/>
      <c r="C132" s="7"/>
      <c r="D132" s="6"/>
      <c r="E132" s="28"/>
      <c r="F132" s="28"/>
      <c r="G132" s="7" t="s">
        <v>83</v>
      </c>
    </row>
    <row r="133" spans="1:7" ht="12.75" customHeight="1" x14ac:dyDescent="0.2">
      <c r="A133" s="205" t="str">
        <f>A$1</f>
        <v>CUADRO Nº 2.4</v>
      </c>
      <c r="B133" s="205"/>
      <c r="C133" s="205"/>
      <c r="D133" s="205"/>
      <c r="E133" s="205"/>
      <c r="F133" s="205"/>
      <c r="G133" s="205"/>
    </row>
    <row r="134" spans="1:7" ht="20.25" customHeight="1" x14ac:dyDescent="0.2">
      <c r="A134" s="206" t="str">
        <f>A$2</f>
        <v>PERÚ: POBLACIÓN CENSADA INDÍGENA U ORIGINARIA DE LA AMAZONÍA, BLANCA(O), MESTIZA(O) Y OTRA(O) DE 12 Y MÁS AÑOS DE EDAD, POR SEXO, SEGÚN CONDICIÓN DE SEGURO DE SALUD, ÁREA DE RESIDENCIA Y DEPARTAMENTO, 2017</v>
      </c>
      <c r="B134" s="206"/>
      <c r="C134" s="206"/>
      <c r="D134" s="206"/>
      <c r="E134" s="206"/>
      <c r="F134" s="206"/>
      <c r="G134" s="206"/>
    </row>
    <row r="135" spans="1:7" ht="12.75" customHeight="1" x14ac:dyDescent="0.25">
      <c r="A135" s="215" t="str">
        <f>A$3</f>
        <v>(Cifras absolutas)</v>
      </c>
      <c r="B135" s="215"/>
      <c r="C135" s="215"/>
      <c r="D135" s="215"/>
      <c r="E135" s="215"/>
      <c r="F135" s="215"/>
      <c r="G135" s="215"/>
    </row>
    <row r="136" spans="1:7" ht="10.5" customHeight="1" thickBot="1" x14ac:dyDescent="0.3">
      <c r="A136" s="47"/>
      <c r="B136" s="47"/>
      <c r="C136" s="47"/>
      <c r="D136" s="47"/>
      <c r="E136" s="47"/>
      <c r="F136" s="47"/>
      <c r="G136" s="6" t="s">
        <v>16</v>
      </c>
    </row>
    <row r="137" spans="1:7" ht="12.75" customHeight="1" thickBot="1" x14ac:dyDescent="0.25">
      <c r="A137" s="216" t="str">
        <f>A$5</f>
        <v>Condición de seguro de salud / Área de residencia y departamento</v>
      </c>
      <c r="B137" s="210" t="str">
        <f>B$5</f>
        <v>Indígena u originaria de la Amazonía</v>
      </c>
      <c r="C137" s="211"/>
      <c r="D137" s="212"/>
      <c r="E137" s="210" t="s">
        <v>116</v>
      </c>
      <c r="F137" s="211"/>
      <c r="G137" s="212"/>
    </row>
    <row r="138" spans="1:7" ht="12.75" customHeight="1" thickBot="1" x14ac:dyDescent="0.25">
      <c r="A138" s="217"/>
      <c r="B138" s="53" t="str">
        <f>B$6</f>
        <v>Total</v>
      </c>
      <c r="C138" s="54" t="str">
        <f t="shared" ref="C138:G138" si="1">C$6</f>
        <v>Hombre</v>
      </c>
      <c r="D138" s="55" t="str">
        <f t="shared" si="1"/>
        <v>Mujer</v>
      </c>
      <c r="E138" s="56" t="str">
        <f t="shared" si="1"/>
        <v>Total</v>
      </c>
      <c r="F138" s="56" t="str">
        <f t="shared" si="1"/>
        <v>Hombre</v>
      </c>
      <c r="G138" s="57" t="str">
        <f t="shared" si="1"/>
        <v>Mujer</v>
      </c>
    </row>
    <row r="139" spans="1:7" ht="3.75" customHeight="1" x14ac:dyDescent="0.25">
      <c r="A139" s="77"/>
      <c r="B139" s="102"/>
      <c r="C139" s="8"/>
      <c r="D139" s="8"/>
      <c r="G139" s="1"/>
    </row>
    <row r="140" spans="1:7" s="1" customFormat="1" ht="10.5" customHeight="1" x14ac:dyDescent="0.25">
      <c r="A140" s="121" t="s">
        <v>130</v>
      </c>
      <c r="B140" s="66">
        <v>516</v>
      </c>
      <c r="C140" s="67">
        <v>271</v>
      </c>
      <c r="D140" s="67">
        <v>245</v>
      </c>
      <c r="E140" s="67">
        <v>566489</v>
      </c>
      <c r="F140" s="67">
        <v>282559</v>
      </c>
      <c r="G140" s="67">
        <v>283930</v>
      </c>
    </row>
    <row r="141" spans="1:7" s="1" customFormat="1" ht="10.5" customHeight="1" x14ac:dyDescent="0.25">
      <c r="A141" s="125" t="s">
        <v>57</v>
      </c>
      <c r="B141" s="62">
        <v>378</v>
      </c>
      <c r="C141" s="15">
        <v>180</v>
      </c>
      <c r="D141" s="15">
        <v>198</v>
      </c>
      <c r="E141" s="15">
        <v>413105</v>
      </c>
      <c r="F141" s="15">
        <v>197670</v>
      </c>
      <c r="G141" s="15">
        <v>215435</v>
      </c>
    </row>
    <row r="142" spans="1:7" s="1" customFormat="1" ht="10.5" customHeight="1" x14ac:dyDescent="0.25">
      <c r="A142" s="125" t="s">
        <v>56</v>
      </c>
      <c r="B142" s="62">
        <v>138</v>
      </c>
      <c r="C142" s="15">
        <v>91</v>
      </c>
      <c r="D142" s="15">
        <v>47</v>
      </c>
      <c r="E142" s="15">
        <v>153384</v>
      </c>
      <c r="F142" s="15">
        <v>84889</v>
      </c>
      <c r="G142" s="15">
        <v>68495</v>
      </c>
    </row>
    <row r="143" spans="1:7" s="1" customFormat="1" ht="3" customHeight="1" thickBot="1" x14ac:dyDescent="0.3">
      <c r="A143" s="107"/>
      <c r="B143" s="108"/>
      <c r="C143" s="109"/>
      <c r="D143" s="109"/>
      <c r="E143" s="76"/>
      <c r="F143" s="76"/>
      <c r="G143" s="76"/>
    </row>
    <row r="144" spans="1:7" s="1" customFormat="1" ht="3" customHeight="1" x14ac:dyDescent="0.25">
      <c r="A144" s="50"/>
      <c r="B144" s="5"/>
      <c r="C144" s="5"/>
      <c r="D144" s="5"/>
      <c r="E144" s="28"/>
      <c r="F144" s="28"/>
      <c r="G144" s="28"/>
    </row>
    <row r="145" spans="1:7" customFormat="1" ht="28.5" customHeight="1" x14ac:dyDescent="0.2">
      <c r="A145" s="218" t="s">
        <v>119</v>
      </c>
      <c r="B145" s="213"/>
      <c r="C145" s="213"/>
      <c r="D145" s="213"/>
      <c r="E145" s="213"/>
      <c r="F145" s="213"/>
      <c r="G145" s="213"/>
    </row>
    <row r="146" spans="1:7" customFormat="1" ht="13.5" x14ac:dyDescent="0.25">
      <c r="A146" s="49" t="s">
        <v>86</v>
      </c>
      <c r="B146" s="35"/>
      <c r="C146" s="35"/>
      <c r="D146" s="35"/>
      <c r="E146" s="4"/>
      <c r="F146" s="4"/>
      <c r="G146" s="4"/>
    </row>
    <row r="147" spans="1:7" customFormat="1" ht="13.5" x14ac:dyDescent="0.25">
      <c r="A147" s="49" t="s">
        <v>87</v>
      </c>
      <c r="B147" s="35"/>
      <c r="C147" s="35"/>
      <c r="D147" s="35"/>
      <c r="E147" s="4"/>
      <c r="F147" s="4"/>
      <c r="G147" s="4"/>
    </row>
    <row r="148" spans="1:7" customFormat="1" ht="25.5" customHeight="1" x14ac:dyDescent="0.25">
      <c r="A148" s="214" t="s">
        <v>118</v>
      </c>
      <c r="B148" s="213"/>
      <c r="C148" s="213"/>
      <c r="D148" s="213"/>
      <c r="E148" s="213"/>
      <c r="F148" s="213"/>
      <c r="G148" s="213"/>
    </row>
  </sheetData>
  <mergeCells count="20">
    <mergeCell ref="A1:G1"/>
    <mergeCell ref="A2:G2"/>
    <mergeCell ref="A3:G3"/>
    <mergeCell ref="A5:A6"/>
    <mergeCell ref="B5:D5"/>
    <mergeCell ref="E5:G5"/>
    <mergeCell ref="A145:G145"/>
    <mergeCell ref="A148:G148"/>
    <mergeCell ref="A65:G65"/>
    <mergeCell ref="A66:G66"/>
    <mergeCell ref="A67:G67"/>
    <mergeCell ref="A69:A70"/>
    <mergeCell ref="B69:D69"/>
    <mergeCell ref="E69:G69"/>
    <mergeCell ref="A135:G135"/>
    <mergeCell ref="A137:A138"/>
    <mergeCell ref="B137:D137"/>
    <mergeCell ref="E137:G137"/>
    <mergeCell ref="A133:G133"/>
    <mergeCell ref="A134:G134"/>
  </mergeCells>
  <pageMargins left="0.98425196850393704" right="0.98425196850393704" top="0.98425196850393704" bottom="0.98425196850393704" header="0.98425196850393704" footer="0.98425196850393704"/>
  <pageSetup paperSize="9" orientation="portrait" r:id="rId1"/>
  <rowBreaks count="1" manualBreakCount="1">
    <brk id="64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232"/>
  <sheetViews>
    <sheetView showWhiteSpace="0" view="pageBreakPreview" zoomScale="145" zoomScaleNormal="100" zoomScaleSheetLayoutView="145" workbookViewId="0">
      <selection sqref="A1:G1"/>
    </sheetView>
  </sheetViews>
  <sheetFormatPr baseColWidth="10" defaultRowHeight="11.25" x14ac:dyDescent="0.2"/>
  <cols>
    <col min="1" max="1" width="21.42578125" style="32" customWidth="1"/>
    <col min="2" max="7" width="10" style="34" customWidth="1"/>
    <col min="8" max="16384" width="11.42578125" style="32"/>
  </cols>
  <sheetData>
    <row r="1" spans="1:7" ht="12.75" customHeight="1" x14ac:dyDescent="0.2">
      <c r="A1" s="222" t="s">
        <v>140</v>
      </c>
      <c r="B1" s="222"/>
      <c r="C1" s="222"/>
      <c r="D1" s="222"/>
      <c r="E1" s="222"/>
      <c r="F1" s="222"/>
      <c r="G1" s="222"/>
    </row>
    <row r="2" spans="1:7" ht="40.5" customHeight="1" x14ac:dyDescent="0.2">
      <c r="A2" s="206" t="s">
        <v>124</v>
      </c>
      <c r="B2" s="206"/>
      <c r="C2" s="206"/>
      <c r="D2" s="206"/>
      <c r="E2" s="206"/>
      <c r="F2" s="206"/>
      <c r="G2" s="206"/>
    </row>
    <row r="3" spans="1:7" s="10" customFormat="1" ht="12.75" customHeight="1" x14ac:dyDescent="0.25">
      <c r="A3" s="215" t="s">
        <v>17</v>
      </c>
      <c r="B3" s="215"/>
      <c r="C3" s="215"/>
      <c r="D3" s="215"/>
      <c r="E3" s="215"/>
      <c r="F3" s="215"/>
      <c r="G3" s="215"/>
    </row>
    <row r="4" spans="1:7" s="10" customFormat="1" ht="10.5" customHeight="1" thickBot="1" x14ac:dyDescent="0.3">
      <c r="A4" s="47"/>
      <c r="B4" s="47"/>
      <c r="C4" s="47"/>
      <c r="D4" s="47"/>
      <c r="E4" s="47"/>
      <c r="F4" s="47"/>
      <c r="G4" s="47"/>
    </row>
    <row r="5" spans="1:7" ht="12.75" customHeight="1" thickBot="1" x14ac:dyDescent="0.25">
      <c r="A5" s="223" t="s">
        <v>104</v>
      </c>
      <c r="B5" s="210" t="s">
        <v>117</v>
      </c>
      <c r="C5" s="211"/>
      <c r="D5" s="212"/>
      <c r="E5" s="210" t="s">
        <v>116</v>
      </c>
      <c r="F5" s="211"/>
      <c r="G5" s="212"/>
    </row>
    <row r="6" spans="1:7" ht="22.5" customHeight="1" thickBot="1" x14ac:dyDescent="0.25">
      <c r="A6" s="224"/>
      <c r="B6" s="101" t="s">
        <v>15</v>
      </c>
      <c r="C6" s="99" t="s">
        <v>103</v>
      </c>
      <c r="D6" s="100" t="s">
        <v>36</v>
      </c>
      <c r="E6" s="127" t="s">
        <v>15</v>
      </c>
      <c r="F6" s="127" t="s">
        <v>103</v>
      </c>
      <c r="G6" s="128" t="s">
        <v>36</v>
      </c>
    </row>
    <row r="7" spans="1:7" ht="3.75" customHeight="1" x14ac:dyDescent="0.2">
      <c r="A7" s="129"/>
      <c r="B7" s="23"/>
      <c r="C7" s="23"/>
      <c r="D7" s="22"/>
      <c r="E7" s="22"/>
      <c r="F7" s="22"/>
      <c r="G7" s="22"/>
    </row>
    <row r="8" spans="1:7" ht="10.5" customHeight="1" x14ac:dyDescent="0.2">
      <c r="A8" s="130" t="s">
        <v>15</v>
      </c>
      <c r="B8" s="131">
        <v>170351</v>
      </c>
      <c r="C8" s="131">
        <v>42800</v>
      </c>
      <c r="D8" s="131">
        <v>127551</v>
      </c>
      <c r="E8" s="131">
        <v>11975760</v>
      </c>
      <c r="F8" s="131">
        <v>10069696</v>
      </c>
      <c r="G8" s="131">
        <v>1906064</v>
      </c>
    </row>
    <row r="9" spans="1:7" ht="10.5" customHeight="1" x14ac:dyDescent="0.2">
      <c r="A9" s="132" t="s">
        <v>98</v>
      </c>
      <c r="B9" s="24">
        <v>151671</v>
      </c>
      <c r="C9" s="15">
        <v>28856</v>
      </c>
      <c r="D9" s="15">
        <v>122815</v>
      </c>
      <c r="E9" s="24">
        <v>6041158</v>
      </c>
      <c r="F9" s="15">
        <v>4359888</v>
      </c>
      <c r="G9" s="15">
        <v>1681270</v>
      </c>
    </row>
    <row r="10" spans="1:7" ht="10.5" customHeight="1" x14ac:dyDescent="0.2">
      <c r="A10" s="132" t="s">
        <v>99</v>
      </c>
      <c r="B10" s="24">
        <v>16234</v>
      </c>
      <c r="C10" s="15">
        <v>11875</v>
      </c>
      <c r="D10" s="15">
        <v>4359</v>
      </c>
      <c r="E10" s="24">
        <v>4819191</v>
      </c>
      <c r="F10" s="15">
        <v>4618918</v>
      </c>
      <c r="G10" s="15">
        <v>200273</v>
      </c>
    </row>
    <row r="11" spans="1:7" ht="10.5" customHeight="1" x14ac:dyDescent="0.2">
      <c r="A11" s="132" t="s">
        <v>100</v>
      </c>
      <c r="B11" s="24">
        <v>931</v>
      </c>
      <c r="C11" s="19">
        <v>743</v>
      </c>
      <c r="D11" s="19">
        <v>188</v>
      </c>
      <c r="E11" s="24">
        <v>359284</v>
      </c>
      <c r="F11" s="19">
        <v>347841</v>
      </c>
      <c r="G11" s="19">
        <v>11443</v>
      </c>
    </row>
    <row r="12" spans="1:7" ht="10.5" customHeight="1" x14ac:dyDescent="0.2">
      <c r="A12" s="132" t="s">
        <v>101</v>
      </c>
      <c r="B12" s="24">
        <v>1423</v>
      </c>
      <c r="C12" s="15">
        <v>1278</v>
      </c>
      <c r="D12" s="15">
        <v>145</v>
      </c>
      <c r="E12" s="24">
        <v>779139</v>
      </c>
      <c r="F12" s="15">
        <v>766356</v>
      </c>
      <c r="G12" s="15">
        <v>12783</v>
      </c>
    </row>
    <row r="13" spans="1:7" ht="10.5" customHeight="1" x14ac:dyDescent="0.2">
      <c r="A13" s="132" t="s">
        <v>102</v>
      </c>
      <c r="B13" s="24">
        <v>674</v>
      </c>
      <c r="C13" s="15">
        <v>508</v>
      </c>
      <c r="D13" s="15">
        <v>166</v>
      </c>
      <c r="E13" s="24">
        <v>219249</v>
      </c>
      <c r="F13" s="15">
        <v>211611</v>
      </c>
      <c r="G13" s="15">
        <v>7638</v>
      </c>
    </row>
    <row r="14" spans="1:7" ht="10.5" customHeight="1" x14ac:dyDescent="0.25">
      <c r="A14" s="133"/>
      <c r="B14" s="17"/>
      <c r="C14" s="17"/>
      <c r="D14" s="17"/>
      <c r="E14" s="33"/>
      <c r="F14" s="17"/>
      <c r="G14" s="17"/>
    </row>
    <row r="15" spans="1:7" ht="10.5" customHeight="1" x14ac:dyDescent="0.2">
      <c r="A15" s="130" t="s">
        <v>35</v>
      </c>
      <c r="B15" s="131">
        <v>29359</v>
      </c>
      <c r="C15" s="131">
        <v>2514</v>
      </c>
      <c r="D15" s="131">
        <v>26845</v>
      </c>
      <c r="E15" s="131">
        <v>190399</v>
      </c>
      <c r="F15" s="131">
        <v>89634</v>
      </c>
      <c r="G15" s="131">
        <v>100765</v>
      </c>
    </row>
    <row r="16" spans="1:7" ht="10.5" customHeight="1" x14ac:dyDescent="0.2">
      <c r="A16" s="132" t="s">
        <v>98</v>
      </c>
      <c r="B16" s="24">
        <v>27354</v>
      </c>
      <c r="C16" s="15">
        <v>1937</v>
      </c>
      <c r="D16" s="15">
        <v>25417</v>
      </c>
      <c r="E16" s="24">
        <v>156136</v>
      </c>
      <c r="F16" s="15">
        <v>62841</v>
      </c>
      <c r="G16" s="15">
        <v>93295</v>
      </c>
    </row>
    <row r="17" spans="1:7" ht="10.5" customHeight="1" x14ac:dyDescent="0.2">
      <c r="A17" s="132" t="s">
        <v>99</v>
      </c>
      <c r="B17" s="24">
        <v>1827</v>
      </c>
      <c r="C17" s="15">
        <v>548</v>
      </c>
      <c r="D17" s="15">
        <v>1279</v>
      </c>
      <c r="E17" s="24">
        <v>29962</v>
      </c>
      <c r="F17" s="15">
        <v>23648</v>
      </c>
      <c r="G17" s="15">
        <v>6314</v>
      </c>
    </row>
    <row r="18" spans="1:7" ht="10.5" customHeight="1" x14ac:dyDescent="0.2">
      <c r="A18" s="132" t="s">
        <v>100</v>
      </c>
      <c r="B18" s="24">
        <v>108</v>
      </c>
      <c r="C18" s="19">
        <v>7</v>
      </c>
      <c r="D18" s="19">
        <v>101</v>
      </c>
      <c r="E18" s="24">
        <v>2826</v>
      </c>
      <c r="F18" s="19">
        <v>2057</v>
      </c>
      <c r="G18" s="19">
        <v>769</v>
      </c>
    </row>
    <row r="19" spans="1:7" ht="10.5" customHeight="1" x14ac:dyDescent="0.2">
      <c r="A19" s="132" t="s">
        <v>101</v>
      </c>
      <c r="B19" s="24">
        <v>19</v>
      </c>
      <c r="C19" s="15">
        <v>7</v>
      </c>
      <c r="D19" s="15">
        <v>12</v>
      </c>
      <c r="E19" s="24">
        <v>1017</v>
      </c>
      <c r="F19" s="15">
        <v>763</v>
      </c>
      <c r="G19" s="15">
        <v>254</v>
      </c>
    </row>
    <row r="20" spans="1:7" ht="10.5" customHeight="1" x14ac:dyDescent="0.2">
      <c r="A20" s="132" t="s">
        <v>102</v>
      </c>
      <c r="B20" s="24">
        <v>80</v>
      </c>
      <c r="C20" s="15">
        <v>20</v>
      </c>
      <c r="D20" s="15">
        <v>60</v>
      </c>
      <c r="E20" s="24">
        <v>919</v>
      </c>
      <c r="F20" s="15">
        <v>671</v>
      </c>
      <c r="G20" s="15">
        <v>248</v>
      </c>
    </row>
    <row r="21" spans="1:7" ht="10.5" customHeight="1" x14ac:dyDescent="0.2">
      <c r="A21" s="133"/>
      <c r="B21" s="17"/>
      <c r="C21" s="17"/>
      <c r="D21" s="17"/>
      <c r="E21" s="17"/>
      <c r="F21" s="17"/>
      <c r="G21" s="17"/>
    </row>
    <row r="22" spans="1:7" ht="10.5" customHeight="1" x14ac:dyDescent="0.2">
      <c r="A22" s="130" t="s">
        <v>34</v>
      </c>
      <c r="B22" s="131">
        <v>159</v>
      </c>
      <c r="C22" s="131">
        <v>132</v>
      </c>
      <c r="D22" s="131">
        <v>27</v>
      </c>
      <c r="E22" s="131">
        <v>402707</v>
      </c>
      <c r="F22" s="131">
        <v>293542</v>
      </c>
      <c r="G22" s="131">
        <v>109165</v>
      </c>
    </row>
    <row r="23" spans="1:7" ht="10.5" customHeight="1" x14ac:dyDescent="0.2">
      <c r="A23" s="132" t="s">
        <v>98</v>
      </c>
      <c r="B23" s="24">
        <v>83</v>
      </c>
      <c r="C23" s="15">
        <v>74</v>
      </c>
      <c r="D23" s="15">
        <v>9</v>
      </c>
      <c r="E23" s="24">
        <v>245939</v>
      </c>
      <c r="F23" s="15">
        <v>152370</v>
      </c>
      <c r="G23" s="15">
        <v>93569</v>
      </c>
    </row>
    <row r="24" spans="1:7" ht="10.5" customHeight="1" x14ac:dyDescent="0.2">
      <c r="A24" s="132" t="s">
        <v>99</v>
      </c>
      <c r="B24" s="24">
        <v>69</v>
      </c>
      <c r="C24" s="15">
        <v>51</v>
      </c>
      <c r="D24" s="15">
        <v>18</v>
      </c>
      <c r="E24" s="24">
        <v>139471</v>
      </c>
      <c r="F24" s="15">
        <v>125465</v>
      </c>
      <c r="G24" s="15">
        <v>14006</v>
      </c>
    </row>
    <row r="25" spans="1:7" ht="10.5" customHeight="1" x14ac:dyDescent="0.2">
      <c r="A25" s="132" t="s">
        <v>100</v>
      </c>
      <c r="B25" s="24">
        <v>3</v>
      </c>
      <c r="C25" s="19">
        <v>3</v>
      </c>
      <c r="D25" s="19">
        <v>0</v>
      </c>
      <c r="E25" s="24">
        <v>6419</v>
      </c>
      <c r="F25" s="19">
        <v>5821</v>
      </c>
      <c r="G25" s="19">
        <v>598</v>
      </c>
    </row>
    <row r="26" spans="1:7" ht="10.5" customHeight="1" x14ac:dyDescent="0.2">
      <c r="A26" s="132" t="s">
        <v>101</v>
      </c>
      <c r="B26" s="24">
        <v>12</v>
      </c>
      <c r="C26" s="15">
        <v>4</v>
      </c>
      <c r="D26" s="15">
        <v>8</v>
      </c>
      <c r="E26" s="24">
        <v>9505</v>
      </c>
      <c r="F26" s="15">
        <v>7755</v>
      </c>
      <c r="G26" s="15">
        <v>1750</v>
      </c>
    </row>
    <row r="27" spans="1:7" ht="10.5" customHeight="1" x14ac:dyDescent="0.2">
      <c r="A27" s="132" t="s">
        <v>102</v>
      </c>
      <c r="B27" s="24">
        <v>0</v>
      </c>
      <c r="C27" s="15">
        <v>0</v>
      </c>
      <c r="D27" s="15">
        <v>0</v>
      </c>
      <c r="E27" s="24">
        <v>4579</v>
      </c>
      <c r="F27" s="15">
        <v>4111</v>
      </c>
      <c r="G27" s="15">
        <v>468</v>
      </c>
    </row>
    <row r="28" spans="1:7" ht="10.5" customHeight="1" x14ac:dyDescent="0.2">
      <c r="A28" s="133"/>
      <c r="B28" s="17"/>
      <c r="C28" s="17"/>
      <c r="D28" s="17"/>
      <c r="E28" s="17"/>
      <c r="F28" s="17"/>
      <c r="G28" s="17"/>
    </row>
    <row r="29" spans="1:7" ht="10.5" customHeight="1" x14ac:dyDescent="0.2">
      <c r="A29" s="130" t="s">
        <v>33</v>
      </c>
      <c r="B29" s="131">
        <v>112</v>
      </c>
      <c r="C29" s="131">
        <v>74</v>
      </c>
      <c r="D29" s="131">
        <v>38</v>
      </c>
      <c r="E29" s="131">
        <v>33821</v>
      </c>
      <c r="F29" s="131">
        <v>22730</v>
      </c>
      <c r="G29" s="131">
        <v>11091</v>
      </c>
    </row>
    <row r="30" spans="1:7" ht="10.5" customHeight="1" x14ac:dyDescent="0.2">
      <c r="A30" s="132" t="s">
        <v>98</v>
      </c>
      <c r="B30" s="24">
        <v>70</v>
      </c>
      <c r="C30" s="15">
        <v>40</v>
      </c>
      <c r="D30" s="15">
        <v>30</v>
      </c>
      <c r="E30" s="24">
        <v>20336</v>
      </c>
      <c r="F30" s="15">
        <v>11708</v>
      </c>
      <c r="G30" s="15">
        <v>8628</v>
      </c>
    </row>
    <row r="31" spans="1:7" ht="10.5" customHeight="1" x14ac:dyDescent="0.2">
      <c r="A31" s="132" t="s">
        <v>99</v>
      </c>
      <c r="B31" s="24">
        <v>35</v>
      </c>
      <c r="C31" s="15">
        <v>29</v>
      </c>
      <c r="D31" s="15">
        <v>6</v>
      </c>
      <c r="E31" s="24">
        <v>11222</v>
      </c>
      <c r="F31" s="15">
        <v>9403</v>
      </c>
      <c r="G31" s="15">
        <v>1819</v>
      </c>
    </row>
    <row r="32" spans="1:7" ht="10.5" customHeight="1" x14ac:dyDescent="0.2">
      <c r="A32" s="132" t="s">
        <v>100</v>
      </c>
      <c r="B32" s="24">
        <v>3</v>
      </c>
      <c r="C32" s="19">
        <v>3</v>
      </c>
      <c r="D32" s="19">
        <v>0</v>
      </c>
      <c r="E32" s="24">
        <v>1380</v>
      </c>
      <c r="F32" s="19">
        <v>1054</v>
      </c>
      <c r="G32" s="19">
        <v>326</v>
      </c>
    </row>
    <row r="33" spans="1:7" ht="10.5" customHeight="1" x14ac:dyDescent="0.2">
      <c r="A33" s="132" t="s">
        <v>101</v>
      </c>
      <c r="B33" s="24">
        <v>7</v>
      </c>
      <c r="C33" s="15">
        <v>5</v>
      </c>
      <c r="D33" s="15">
        <v>2</v>
      </c>
      <c r="E33" s="24">
        <v>1016</v>
      </c>
      <c r="F33" s="15">
        <v>560</v>
      </c>
      <c r="G33" s="15">
        <v>456</v>
      </c>
    </row>
    <row r="34" spans="1:7" ht="10.5" customHeight="1" x14ac:dyDescent="0.2">
      <c r="A34" s="132" t="s">
        <v>102</v>
      </c>
      <c r="B34" s="24">
        <v>2</v>
      </c>
      <c r="C34" s="15">
        <v>1</v>
      </c>
      <c r="D34" s="15">
        <v>1</v>
      </c>
      <c r="E34" s="24">
        <v>353</v>
      </c>
      <c r="F34" s="15">
        <v>282</v>
      </c>
      <c r="G34" s="15">
        <v>71</v>
      </c>
    </row>
    <row r="35" spans="1:7" ht="10.5" customHeight="1" x14ac:dyDescent="0.2">
      <c r="A35" s="133"/>
      <c r="B35" s="17"/>
      <c r="C35" s="17"/>
      <c r="D35" s="17"/>
      <c r="E35" s="17"/>
      <c r="F35" s="17"/>
      <c r="G35" s="17"/>
    </row>
    <row r="36" spans="1:7" ht="10.5" customHeight="1" x14ac:dyDescent="0.2">
      <c r="A36" s="130" t="s">
        <v>32</v>
      </c>
      <c r="B36" s="131">
        <v>380</v>
      </c>
      <c r="C36" s="131">
        <v>364</v>
      </c>
      <c r="D36" s="131">
        <v>16</v>
      </c>
      <c r="E36" s="131">
        <v>463796</v>
      </c>
      <c r="F36" s="131">
        <v>435404</v>
      </c>
      <c r="G36" s="131">
        <v>28392</v>
      </c>
    </row>
    <row r="37" spans="1:7" ht="10.5" customHeight="1" x14ac:dyDescent="0.2">
      <c r="A37" s="132" t="s">
        <v>98</v>
      </c>
      <c r="B37" s="24">
        <v>153</v>
      </c>
      <c r="C37" s="15">
        <v>145</v>
      </c>
      <c r="D37" s="15">
        <v>8</v>
      </c>
      <c r="E37" s="24">
        <v>129443</v>
      </c>
      <c r="F37" s="15">
        <v>112112</v>
      </c>
      <c r="G37" s="15">
        <v>17331</v>
      </c>
    </row>
    <row r="38" spans="1:7" ht="10.5" customHeight="1" x14ac:dyDescent="0.2">
      <c r="A38" s="132" t="s">
        <v>99</v>
      </c>
      <c r="B38" s="24">
        <v>183</v>
      </c>
      <c r="C38" s="15">
        <v>175</v>
      </c>
      <c r="D38" s="15">
        <v>8</v>
      </c>
      <c r="E38" s="24">
        <v>279888</v>
      </c>
      <c r="F38" s="15">
        <v>270639</v>
      </c>
      <c r="G38" s="15">
        <v>9249</v>
      </c>
    </row>
    <row r="39" spans="1:7" ht="10.5" customHeight="1" x14ac:dyDescent="0.2">
      <c r="A39" s="132" t="s">
        <v>100</v>
      </c>
      <c r="B39" s="24">
        <v>16</v>
      </c>
      <c r="C39" s="19">
        <v>16</v>
      </c>
      <c r="D39" s="19">
        <v>0</v>
      </c>
      <c r="E39" s="24">
        <v>19555</v>
      </c>
      <c r="F39" s="19">
        <v>18852</v>
      </c>
      <c r="G39" s="19">
        <v>703</v>
      </c>
    </row>
    <row r="40" spans="1:7" ht="10.5" customHeight="1" x14ac:dyDescent="0.2">
      <c r="A40" s="132" t="s">
        <v>101</v>
      </c>
      <c r="B40" s="24">
        <v>29</v>
      </c>
      <c r="C40" s="15">
        <v>28</v>
      </c>
      <c r="D40" s="15">
        <v>1</v>
      </c>
      <c r="E40" s="24">
        <v>35122</v>
      </c>
      <c r="F40" s="15">
        <v>34460</v>
      </c>
      <c r="G40" s="15">
        <v>662</v>
      </c>
    </row>
    <row r="41" spans="1:7" ht="10.5" customHeight="1" x14ac:dyDescent="0.2">
      <c r="A41" s="132" t="s">
        <v>102</v>
      </c>
      <c r="B41" s="24">
        <v>7</v>
      </c>
      <c r="C41" s="15">
        <v>7</v>
      </c>
      <c r="D41" s="15">
        <v>0</v>
      </c>
      <c r="E41" s="24">
        <v>12346</v>
      </c>
      <c r="F41" s="15">
        <v>11674</v>
      </c>
      <c r="G41" s="15">
        <v>672</v>
      </c>
    </row>
    <row r="42" spans="1:7" ht="10.5" customHeight="1" x14ac:dyDescent="0.2">
      <c r="A42" s="133"/>
      <c r="B42" s="17"/>
      <c r="C42" s="17"/>
      <c r="D42" s="17"/>
      <c r="E42" s="17"/>
      <c r="F42" s="17"/>
      <c r="G42" s="17"/>
    </row>
    <row r="43" spans="1:7" ht="10.5" customHeight="1" x14ac:dyDescent="0.2">
      <c r="A43" s="130" t="s">
        <v>31</v>
      </c>
      <c r="B43" s="131">
        <v>230</v>
      </c>
      <c r="C43" s="131">
        <v>131</v>
      </c>
      <c r="D43" s="131">
        <v>99</v>
      </c>
      <c r="E43" s="131">
        <v>67890</v>
      </c>
      <c r="F43" s="131">
        <v>45889</v>
      </c>
      <c r="G43" s="131">
        <v>22001</v>
      </c>
    </row>
    <row r="44" spans="1:7" ht="10.5" customHeight="1" x14ac:dyDescent="0.2">
      <c r="A44" s="132" t="s">
        <v>98</v>
      </c>
      <c r="B44" s="24">
        <v>188</v>
      </c>
      <c r="C44" s="15">
        <v>99</v>
      </c>
      <c r="D44" s="15">
        <v>89</v>
      </c>
      <c r="E44" s="24">
        <v>45641</v>
      </c>
      <c r="F44" s="15">
        <v>27498</v>
      </c>
      <c r="G44" s="15">
        <v>18143</v>
      </c>
    </row>
    <row r="45" spans="1:7" ht="10.5" customHeight="1" x14ac:dyDescent="0.2">
      <c r="A45" s="132" t="s">
        <v>99</v>
      </c>
      <c r="B45" s="24">
        <v>25</v>
      </c>
      <c r="C45" s="15">
        <v>21</v>
      </c>
      <c r="D45" s="15">
        <v>4</v>
      </c>
      <c r="E45" s="24">
        <v>18596</v>
      </c>
      <c r="F45" s="15">
        <v>15419</v>
      </c>
      <c r="G45" s="15">
        <v>3177</v>
      </c>
    </row>
    <row r="46" spans="1:7" ht="10.5" customHeight="1" x14ac:dyDescent="0.2">
      <c r="A46" s="132" t="s">
        <v>100</v>
      </c>
      <c r="B46" s="24">
        <v>12</v>
      </c>
      <c r="C46" s="19">
        <v>7</v>
      </c>
      <c r="D46" s="19">
        <v>5</v>
      </c>
      <c r="E46" s="24">
        <v>2096</v>
      </c>
      <c r="F46" s="19">
        <v>1724</v>
      </c>
      <c r="G46" s="19">
        <v>372</v>
      </c>
    </row>
    <row r="47" spans="1:7" ht="10.5" customHeight="1" x14ac:dyDescent="0.2">
      <c r="A47" s="132" t="s">
        <v>101</v>
      </c>
      <c r="B47" s="24">
        <v>3</v>
      </c>
      <c r="C47" s="15">
        <v>2</v>
      </c>
      <c r="D47" s="15">
        <v>1</v>
      </c>
      <c r="E47" s="24">
        <v>1159</v>
      </c>
      <c r="F47" s="15">
        <v>902</v>
      </c>
      <c r="G47" s="15">
        <v>257</v>
      </c>
    </row>
    <row r="48" spans="1:7" ht="10.5" customHeight="1" x14ac:dyDescent="0.2">
      <c r="A48" s="132" t="s">
        <v>102</v>
      </c>
      <c r="B48" s="24">
        <v>2</v>
      </c>
      <c r="C48" s="15">
        <v>2</v>
      </c>
      <c r="D48" s="15">
        <v>0</v>
      </c>
      <c r="E48" s="24">
        <v>829</v>
      </c>
      <c r="F48" s="15">
        <v>704</v>
      </c>
      <c r="G48" s="15">
        <v>125</v>
      </c>
    </row>
    <row r="49" spans="1:7" ht="10.5" customHeight="1" x14ac:dyDescent="0.2">
      <c r="A49" s="132"/>
      <c r="B49" s="24"/>
      <c r="C49" s="15"/>
      <c r="D49" s="15"/>
      <c r="E49" s="24"/>
      <c r="F49" s="15"/>
      <c r="G49" s="15"/>
    </row>
    <row r="50" spans="1:7" ht="10.5" customHeight="1" x14ac:dyDescent="0.2">
      <c r="A50" s="130" t="s">
        <v>30</v>
      </c>
      <c r="B50" s="131">
        <v>1621</v>
      </c>
      <c r="C50" s="131">
        <v>361</v>
      </c>
      <c r="D50" s="131">
        <v>1260</v>
      </c>
      <c r="E50" s="131">
        <v>741186</v>
      </c>
      <c r="F50" s="131">
        <v>238862</v>
      </c>
      <c r="G50" s="131">
        <v>502324</v>
      </c>
    </row>
    <row r="51" spans="1:7" ht="10.5" customHeight="1" x14ac:dyDescent="0.2">
      <c r="A51" s="132" t="s">
        <v>98</v>
      </c>
      <c r="B51" s="24">
        <v>1422</v>
      </c>
      <c r="C51" s="15">
        <v>213</v>
      </c>
      <c r="D51" s="15">
        <v>1209</v>
      </c>
      <c r="E51" s="24">
        <v>611979</v>
      </c>
      <c r="F51" s="15">
        <v>139867</v>
      </c>
      <c r="G51" s="15">
        <v>472112</v>
      </c>
    </row>
    <row r="52" spans="1:7" ht="10.5" customHeight="1" x14ac:dyDescent="0.2">
      <c r="A52" s="132" t="s">
        <v>99</v>
      </c>
      <c r="B52" s="24">
        <v>182</v>
      </c>
      <c r="C52" s="15">
        <v>133</v>
      </c>
      <c r="D52" s="15">
        <v>49</v>
      </c>
      <c r="E52" s="24">
        <v>113075</v>
      </c>
      <c r="F52" s="15">
        <v>86186</v>
      </c>
      <c r="G52" s="15">
        <v>26889</v>
      </c>
    </row>
    <row r="53" spans="1:7" ht="10.5" customHeight="1" x14ac:dyDescent="0.2">
      <c r="A53" s="132" t="s">
        <v>100</v>
      </c>
      <c r="B53" s="24">
        <v>3</v>
      </c>
      <c r="C53" s="19">
        <v>2</v>
      </c>
      <c r="D53" s="19">
        <v>1</v>
      </c>
      <c r="E53" s="24">
        <v>5869</v>
      </c>
      <c r="F53" s="19">
        <v>4373</v>
      </c>
      <c r="G53" s="19">
        <v>1496</v>
      </c>
    </row>
    <row r="54" spans="1:7" ht="10.5" customHeight="1" x14ac:dyDescent="0.2">
      <c r="A54" s="132" t="s">
        <v>101</v>
      </c>
      <c r="B54" s="24">
        <v>9</v>
      </c>
      <c r="C54" s="15">
        <v>8</v>
      </c>
      <c r="D54" s="15">
        <v>1</v>
      </c>
      <c r="E54" s="24">
        <v>9622</v>
      </c>
      <c r="F54" s="15">
        <v>7680</v>
      </c>
      <c r="G54" s="15">
        <v>1942</v>
      </c>
    </row>
    <row r="55" spans="1:7" ht="10.5" customHeight="1" x14ac:dyDescent="0.2">
      <c r="A55" s="132" t="s">
        <v>102</v>
      </c>
      <c r="B55" s="24">
        <v>7</v>
      </c>
      <c r="C55" s="15">
        <v>7</v>
      </c>
      <c r="D55" s="15">
        <v>0</v>
      </c>
      <c r="E55" s="24">
        <v>3788</v>
      </c>
      <c r="F55" s="15">
        <v>2802</v>
      </c>
      <c r="G55" s="15">
        <v>986</v>
      </c>
    </row>
    <row r="56" spans="1:7" ht="10.5" customHeight="1" x14ac:dyDescent="0.2">
      <c r="A56" s="133"/>
      <c r="B56" s="17"/>
      <c r="C56" s="17"/>
      <c r="D56" s="17"/>
      <c r="E56" s="17"/>
      <c r="F56" s="17"/>
      <c r="G56" s="17"/>
    </row>
    <row r="57" spans="1:7" ht="10.5" customHeight="1" x14ac:dyDescent="0.2">
      <c r="A57" s="134" t="s">
        <v>29</v>
      </c>
      <c r="B57" s="131">
        <v>1115</v>
      </c>
      <c r="C57" s="131">
        <v>1115</v>
      </c>
      <c r="D57" s="131">
        <v>0</v>
      </c>
      <c r="E57" s="131">
        <v>512532</v>
      </c>
      <c r="F57" s="131">
        <v>512532</v>
      </c>
      <c r="G57" s="131">
        <v>0</v>
      </c>
    </row>
    <row r="58" spans="1:7" ht="10.5" customHeight="1" x14ac:dyDescent="0.2">
      <c r="A58" s="132" t="s">
        <v>98</v>
      </c>
      <c r="B58" s="24">
        <v>508</v>
      </c>
      <c r="C58" s="15">
        <v>508</v>
      </c>
      <c r="D58" s="15">
        <v>0</v>
      </c>
      <c r="E58" s="24">
        <v>189898</v>
      </c>
      <c r="F58" s="15">
        <v>189898</v>
      </c>
      <c r="G58" s="15">
        <v>0</v>
      </c>
    </row>
    <row r="59" spans="1:7" ht="10.5" customHeight="1" x14ac:dyDescent="0.2">
      <c r="A59" s="132" t="s">
        <v>99</v>
      </c>
      <c r="B59" s="24">
        <v>488</v>
      </c>
      <c r="C59" s="15">
        <v>488</v>
      </c>
      <c r="D59" s="15">
        <v>0</v>
      </c>
      <c r="E59" s="24">
        <v>263771</v>
      </c>
      <c r="F59" s="15">
        <v>263771</v>
      </c>
      <c r="G59" s="15">
        <v>0</v>
      </c>
    </row>
    <row r="60" spans="1:7" ht="10.5" customHeight="1" x14ac:dyDescent="0.2">
      <c r="A60" s="132" t="s">
        <v>100</v>
      </c>
      <c r="B60" s="24">
        <v>51</v>
      </c>
      <c r="C60" s="19">
        <v>51</v>
      </c>
      <c r="D60" s="19">
        <v>0</v>
      </c>
      <c r="E60" s="24">
        <v>21045</v>
      </c>
      <c r="F60" s="19">
        <v>21045</v>
      </c>
      <c r="G60" s="19">
        <v>0</v>
      </c>
    </row>
    <row r="61" spans="1:7" ht="10.5" customHeight="1" x14ac:dyDescent="0.2">
      <c r="A61" s="132" t="s">
        <v>101</v>
      </c>
      <c r="B61" s="24">
        <v>63</v>
      </c>
      <c r="C61" s="15">
        <v>63</v>
      </c>
      <c r="D61" s="15">
        <v>0</v>
      </c>
      <c r="E61" s="24">
        <v>35530</v>
      </c>
      <c r="F61" s="15">
        <v>35530</v>
      </c>
      <c r="G61" s="15">
        <v>0</v>
      </c>
    </row>
    <row r="62" spans="1:7" ht="10.5" customHeight="1" x14ac:dyDescent="0.2">
      <c r="A62" s="132" t="s">
        <v>102</v>
      </c>
      <c r="B62" s="24">
        <v>19</v>
      </c>
      <c r="C62" s="15">
        <v>19</v>
      </c>
      <c r="D62" s="15">
        <v>0</v>
      </c>
      <c r="E62" s="24">
        <v>11207</v>
      </c>
      <c r="F62" s="15">
        <v>11207</v>
      </c>
      <c r="G62" s="15">
        <v>0</v>
      </c>
    </row>
    <row r="63" spans="1:7" s="1" customFormat="1" ht="3.75" customHeight="1" thickBot="1" x14ac:dyDescent="0.3">
      <c r="A63" s="83"/>
      <c r="B63" s="73"/>
      <c r="C63" s="74"/>
      <c r="D63" s="75"/>
      <c r="E63" s="76"/>
      <c r="F63" s="76"/>
      <c r="G63" s="76"/>
    </row>
    <row r="64" spans="1:7" s="1" customFormat="1" ht="10.5" customHeight="1" x14ac:dyDescent="0.25">
      <c r="A64" s="48"/>
      <c r="B64" s="7"/>
      <c r="C64" s="7"/>
      <c r="D64" s="6"/>
      <c r="E64" s="28"/>
      <c r="F64" s="28"/>
      <c r="G64" s="7" t="s">
        <v>83</v>
      </c>
    </row>
    <row r="65" spans="1:7" ht="12.75" customHeight="1" x14ac:dyDescent="0.2">
      <c r="A65" s="222" t="str">
        <f>A$1</f>
        <v>CUADRO Nº 2.5</v>
      </c>
      <c r="B65" s="222"/>
      <c r="C65" s="222"/>
      <c r="D65" s="222"/>
      <c r="E65" s="222"/>
      <c r="F65" s="222"/>
      <c r="G65" s="222"/>
    </row>
    <row r="66" spans="1:7" ht="20.25" customHeight="1" x14ac:dyDescent="0.2">
      <c r="A66" s="206" t="str">
        <f>A$2</f>
        <v>PERÚ: POBLACIÓN CENSADA INDÍGENA U ORIGINARIA DE LA AMAZONÍA, BLANCA(O), MESTIZA(O) Y OTRA(O) DE 12 Y MÁS AÑOS DE EDAD, POR ÁREA DE RESIDENCIA, SEGÚN TIPO DE AFILIACIÓN DE SEGURO DE SALUD Y DEPARTAMENTO, 2017</v>
      </c>
      <c r="B66" s="206"/>
      <c r="C66" s="206"/>
      <c r="D66" s="206"/>
      <c r="E66" s="206"/>
      <c r="F66" s="206"/>
      <c r="G66" s="206"/>
    </row>
    <row r="67" spans="1:7" s="10" customFormat="1" ht="12.75" customHeight="1" x14ac:dyDescent="0.25">
      <c r="A67" s="215" t="str">
        <f>A$3</f>
        <v>(Cifras absolutas)</v>
      </c>
      <c r="B67" s="215"/>
      <c r="C67" s="215"/>
      <c r="D67" s="215"/>
      <c r="E67" s="215"/>
      <c r="F67" s="215"/>
      <c r="G67" s="215"/>
    </row>
    <row r="68" spans="1:7" s="10" customFormat="1" ht="10.5" customHeight="1" thickBot="1" x14ac:dyDescent="0.3">
      <c r="A68" s="47"/>
      <c r="B68" s="47"/>
      <c r="C68" s="47"/>
      <c r="D68" s="47"/>
      <c r="E68" s="47"/>
      <c r="F68" s="47"/>
      <c r="G68" s="47"/>
    </row>
    <row r="69" spans="1:7" ht="12.75" customHeight="1" thickBot="1" x14ac:dyDescent="0.25">
      <c r="A69" s="223" t="str">
        <f>A$5</f>
        <v>Tipo de afiliación de seguro de salud / Departamento</v>
      </c>
      <c r="B69" s="211" t="str">
        <f>B$5</f>
        <v>Indígena u originaria de la Amazonía</v>
      </c>
      <c r="C69" s="211"/>
      <c r="D69" s="212"/>
      <c r="E69" s="210" t="s">
        <v>116</v>
      </c>
      <c r="F69" s="211"/>
      <c r="G69" s="212"/>
    </row>
    <row r="70" spans="1:7" ht="22.5" customHeight="1" thickBot="1" x14ac:dyDescent="0.25">
      <c r="A70" s="224"/>
      <c r="B70" s="127" t="str">
        <f>B$6</f>
        <v>Total</v>
      </c>
      <c r="C70" s="127" t="str">
        <f>C$6</f>
        <v>Área urbana</v>
      </c>
      <c r="D70" s="127" t="str">
        <f>D$6</f>
        <v>Área Rural</v>
      </c>
      <c r="E70" s="101" t="str">
        <f t="shared" ref="E70:G70" si="0">E$6</f>
        <v>Total</v>
      </c>
      <c r="F70" s="99" t="str">
        <f t="shared" si="0"/>
        <v>Área urbana</v>
      </c>
      <c r="G70" s="100" t="str">
        <f t="shared" si="0"/>
        <v>Área Rural</v>
      </c>
    </row>
    <row r="71" spans="1:7" ht="3.75" customHeight="1" x14ac:dyDescent="0.2">
      <c r="A71" s="135"/>
      <c r="B71" s="23"/>
      <c r="C71" s="23"/>
      <c r="D71" s="22"/>
      <c r="E71" s="22"/>
      <c r="F71" s="22"/>
      <c r="G71" s="22"/>
    </row>
    <row r="72" spans="1:7" ht="10.5" customHeight="1" x14ac:dyDescent="0.2">
      <c r="A72" s="130" t="s">
        <v>28</v>
      </c>
      <c r="B72" s="131">
        <v>5537</v>
      </c>
      <c r="C72" s="131">
        <v>493</v>
      </c>
      <c r="D72" s="131">
        <v>5044</v>
      </c>
      <c r="E72" s="131">
        <v>152995</v>
      </c>
      <c r="F72" s="131">
        <v>123111</v>
      </c>
      <c r="G72" s="131">
        <v>29884</v>
      </c>
    </row>
    <row r="73" spans="1:7" ht="10.5" customHeight="1" x14ac:dyDescent="0.2">
      <c r="A73" s="132" t="s">
        <v>98</v>
      </c>
      <c r="B73" s="24">
        <v>5082</v>
      </c>
      <c r="C73" s="15">
        <v>295</v>
      </c>
      <c r="D73" s="15">
        <v>4787</v>
      </c>
      <c r="E73" s="24">
        <v>72598</v>
      </c>
      <c r="F73" s="15">
        <v>49959</v>
      </c>
      <c r="G73" s="15">
        <v>22639</v>
      </c>
    </row>
    <row r="74" spans="1:7" ht="10.5" customHeight="1" x14ac:dyDescent="0.2">
      <c r="A74" s="132" t="s">
        <v>99</v>
      </c>
      <c r="B74" s="24">
        <v>386</v>
      </c>
      <c r="C74" s="15">
        <v>167</v>
      </c>
      <c r="D74" s="15">
        <v>219</v>
      </c>
      <c r="E74" s="24">
        <v>65782</v>
      </c>
      <c r="F74" s="15">
        <v>60315</v>
      </c>
      <c r="G74" s="15">
        <v>5467</v>
      </c>
    </row>
    <row r="75" spans="1:7" ht="10.5" customHeight="1" x14ac:dyDescent="0.2">
      <c r="A75" s="132" t="s">
        <v>100</v>
      </c>
      <c r="B75" s="24">
        <v>35</v>
      </c>
      <c r="C75" s="19">
        <v>15</v>
      </c>
      <c r="D75" s="19">
        <v>20</v>
      </c>
      <c r="E75" s="24">
        <v>7075</v>
      </c>
      <c r="F75" s="19">
        <v>5943</v>
      </c>
      <c r="G75" s="19">
        <v>1132</v>
      </c>
    </row>
    <row r="76" spans="1:7" ht="10.5" customHeight="1" x14ac:dyDescent="0.2">
      <c r="A76" s="132" t="s">
        <v>101</v>
      </c>
      <c r="B76" s="24">
        <v>22</v>
      </c>
      <c r="C76" s="15">
        <v>9</v>
      </c>
      <c r="D76" s="15">
        <v>13</v>
      </c>
      <c r="E76" s="24">
        <v>6624</v>
      </c>
      <c r="F76" s="15">
        <v>5659</v>
      </c>
      <c r="G76" s="15">
        <v>965</v>
      </c>
    </row>
    <row r="77" spans="1:7" ht="10.5" customHeight="1" x14ac:dyDescent="0.2">
      <c r="A77" s="132" t="s">
        <v>102</v>
      </c>
      <c r="B77" s="24">
        <v>25</v>
      </c>
      <c r="C77" s="15">
        <v>14</v>
      </c>
      <c r="D77" s="15">
        <v>11</v>
      </c>
      <c r="E77" s="24">
        <v>3744</v>
      </c>
      <c r="F77" s="15">
        <v>3486</v>
      </c>
      <c r="G77" s="15">
        <v>258</v>
      </c>
    </row>
    <row r="78" spans="1:7" ht="10.5" customHeight="1" x14ac:dyDescent="0.2">
      <c r="A78" s="133"/>
      <c r="B78" s="17"/>
      <c r="C78" s="17"/>
      <c r="D78" s="17"/>
      <c r="E78" s="17"/>
      <c r="F78" s="17"/>
      <c r="G78" s="17"/>
    </row>
    <row r="79" spans="1:7" ht="10.5" customHeight="1" x14ac:dyDescent="0.2">
      <c r="A79" s="130" t="s">
        <v>27</v>
      </c>
      <c r="B79" s="131">
        <v>35</v>
      </c>
      <c r="C79" s="131">
        <v>22</v>
      </c>
      <c r="D79" s="131">
        <v>13</v>
      </c>
      <c r="E79" s="131">
        <v>44352</v>
      </c>
      <c r="F79" s="131">
        <v>19150</v>
      </c>
      <c r="G79" s="131">
        <v>25202</v>
      </c>
    </row>
    <row r="80" spans="1:7" ht="10.5" customHeight="1" x14ac:dyDescent="0.2">
      <c r="A80" s="132" t="s">
        <v>98</v>
      </c>
      <c r="B80" s="24">
        <v>24</v>
      </c>
      <c r="C80" s="15">
        <v>18</v>
      </c>
      <c r="D80" s="15">
        <v>6</v>
      </c>
      <c r="E80" s="24">
        <v>33117</v>
      </c>
      <c r="F80" s="15">
        <v>11770</v>
      </c>
      <c r="G80" s="15">
        <v>21347</v>
      </c>
    </row>
    <row r="81" spans="1:7" ht="10.5" customHeight="1" x14ac:dyDescent="0.2">
      <c r="A81" s="132" t="s">
        <v>99</v>
      </c>
      <c r="B81" s="24">
        <v>10</v>
      </c>
      <c r="C81" s="15">
        <v>4</v>
      </c>
      <c r="D81" s="15">
        <v>6</v>
      </c>
      <c r="E81" s="24">
        <v>9914</v>
      </c>
      <c r="F81" s="15">
        <v>6575</v>
      </c>
      <c r="G81" s="15">
        <v>3339</v>
      </c>
    </row>
    <row r="82" spans="1:7" ht="10.5" customHeight="1" x14ac:dyDescent="0.2">
      <c r="A82" s="132" t="s">
        <v>100</v>
      </c>
      <c r="B82" s="24">
        <v>1</v>
      </c>
      <c r="C82" s="19">
        <v>0</v>
      </c>
      <c r="D82" s="19">
        <v>1</v>
      </c>
      <c r="E82" s="24">
        <v>873</v>
      </c>
      <c r="F82" s="19">
        <v>511</v>
      </c>
      <c r="G82" s="19">
        <v>362</v>
      </c>
    </row>
    <row r="83" spans="1:7" ht="10.5" customHeight="1" x14ac:dyDescent="0.2">
      <c r="A83" s="132" t="s">
        <v>101</v>
      </c>
      <c r="B83" s="24">
        <v>0</v>
      </c>
      <c r="C83" s="15">
        <v>0</v>
      </c>
      <c r="D83" s="15">
        <v>0</v>
      </c>
      <c r="E83" s="24">
        <v>368</v>
      </c>
      <c r="F83" s="15">
        <v>230</v>
      </c>
      <c r="G83" s="15">
        <v>138</v>
      </c>
    </row>
    <row r="84" spans="1:7" ht="10.5" customHeight="1" x14ac:dyDescent="0.2">
      <c r="A84" s="132" t="s">
        <v>102</v>
      </c>
      <c r="B84" s="24">
        <v>0</v>
      </c>
      <c r="C84" s="15">
        <v>0</v>
      </c>
      <c r="D84" s="15">
        <v>0</v>
      </c>
      <c r="E84" s="24">
        <v>264</v>
      </c>
      <c r="F84" s="15">
        <v>178</v>
      </c>
      <c r="G84" s="15">
        <v>86</v>
      </c>
    </row>
    <row r="85" spans="1:7" ht="10.5" customHeight="1" x14ac:dyDescent="0.2">
      <c r="A85" s="136"/>
      <c r="B85" s="17"/>
      <c r="C85" s="17"/>
      <c r="D85" s="17"/>
      <c r="E85" s="17"/>
      <c r="F85" s="17"/>
      <c r="G85" s="17"/>
    </row>
    <row r="86" spans="1:7" ht="10.5" customHeight="1" x14ac:dyDescent="0.2">
      <c r="A86" s="130" t="s">
        <v>26</v>
      </c>
      <c r="B86" s="131">
        <v>1611</v>
      </c>
      <c r="C86" s="131">
        <v>472</v>
      </c>
      <c r="D86" s="131">
        <v>1139</v>
      </c>
      <c r="E86" s="131">
        <v>226525</v>
      </c>
      <c r="F86" s="131">
        <v>136536</v>
      </c>
      <c r="G86" s="131">
        <v>89989</v>
      </c>
    </row>
    <row r="87" spans="1:7" ht="10.5" customHeight="1" x14ac:dyDescent="0.2">
      <c r="A87" s="132" t="s">
        <v>98</v>
      </c>
      <c r="B87" s="24">
        <v>1425</v>
      </c>
      <c r="C87" s="15">
        <v>326</v>
      </c>
      <c r="D87" s="15">
        <v>1099</v>
      </c>
      <c r="E87" s="24">
        <v>164816</v>
      </c>
      <c r="F87" s="15">
        <v>82332</v>
      </c>
      <c r="G87" s="15">
        <v>82484</v>
      </c>
    </row>
    <row r="88" spans="1:7" ht="10.5" customHeight="1" x14ac:dyDescent="0.2">
      <c r="A88" s="132" t="s">
        <v>99</v>
      </c>
      <c r="B88" s="24">
        <v>167</v>
      </c>
      <c r="C88" s="15">
        <v>131</v>
      </c>
      <c r="D88" s="15">
        <v>36</v>
      </c>
      <c r="E88" s="24">
        <v>55246</v>
      </c>
      <c r="F88" s="15">
        <v>48541</v>
      </c>
      <c r="G88" s="15">
        <v>6705</v>
      </c>
    </row>
    <row r="89" spans="1:7" ht="10.5" customHeight="1" x14ac:dyDescent="0.2">
      <c r="A89" s="132" t="s">
        <v>100</v>
      </c>
      <c r="B89" s="24">
        <v>7</v>
      </c>
      <c r="C89" s="19">
        <v>5</v>
      </c>
      <c r="D89" s="19">
        <v>2</v>
      </c>
      <c r="E89" s="24">
        <v>3847</v>
      </c>
      <c r="F89" s="19">
        <v>3376</v>
      </c>
      <c r="G89" s="19">
        <v>471</v>
      </c>
    </row>
    <row r="90" spans="1:7" ht="10.5" customHeight="1" x14ac:dyDescent="0.2">
      <c r="A90" s="132" t="s">
        <v>101</v>
      </c>
      <c r="B90" s="24">
        <v>5</v>
      </c>
      <c r="C90" s="15">
        <v>4</v>
      </c>
      <c r="D90" s="15">
        <v>1</v>
      </c>
      <c r="E90" s="24">
        <v>2199</v>
      </c>
      <c r="F90" s="15">
        <v>1852</v>
      </c>
      <c r="G90" s="15">
        <v>347</v>
      </c>
    </row>
    <row r="91" spans="1:7" ht="10.5" customHeight="1" x14ac:dyDescent="0.2">
      <c r="A91" s="132" t="s">
        <v>102</v>
      </c>
      <c r="B91" s="24">
        <v>8</v>
      </c>
      <c r="C91" s="15">
        <v>7</v>
      </c>
      <c r="D91" s="15">
        <v>1</v>
      </c>
      <c r="E91" s="24">
        <v>1313</v>
      </c>
      <c r="F91" s="15">
        <v>1156</v>
      </c>
      <c r="G91" s="15">
        <v>157</v>
      </c>
    </row>
    <row r="92" spans="1:7" ht="10.5" customHeight="1" x14ac:dyDescent="0.2">
      <c r="A92" s="133"/>
      <c r="B92" s="17"/>
      <c r="C92" s="17"/>
      <c r="D92" s="17"/>
      <c r="E92" s="17"/>
      <c r="F92" s="17"/>
      <c r="G92" s="17"/>
    </row>
    <row r="93" spans="1:7" ht="10.5" customHeight="1" x14ac:dyDescent="0.2">
      <c r="A93" s="130" t="s">
        <v>25</v>
      </c>
      <c r="B93" s="131">
        <v>556</v>
      </c>
      <c r="C93" s="131">
        <v>503</v>
      </c>
      <c r="D93" s="131">
        <v>53</v>
      </c>
      <c r="E93" s="131">
        <v>365440</v>
      </c>
      <c r="F93" s="131">
        <v>336208</v>
      </c>
      <c r="G93" s="131">
        <v>29232</v>
      </c>
    </row>
    <row r="94" spans="1:7" ht="10.5" customHeight="1" x14ac:dyDescent="0.2">
      <c r="A94" s="132" t="s">
        <v>98</v>
      </c>
      <c r="B94" s="24">
        <v>282</v>
      </c>
      <c r="C94" s="15">
        <v>263</v>
      </c>
      <c r="D94" s="15">
        <v>19</v>
      </c>
      <c r="E94" s="24">
        <v>136397</v>
      </c>
      <c r="F94" s="15">
        <v>121817</v>
      </c>
      <c r="G94" s="15">
        <v>14580</v>
      </c>
    </row>
    <row r="95" spans="1:7" ht="10.5" customHeight="1" x14ac:dyDescent="0.2">
      <c r="A95" s="132" t="s">
        <v>99</v>
      </c>
      <c r="B95" s="24">
        <v>246</v>
      </c>
      <c r="C95" s="15">
        <v>213</v>
      </c>
      <c r="D95" s="15">
        <v>33</v>
      </c>
      <c r="E95" s="24">
        <v>204676</v>
      </c>
      <c r="F95" s="15">
        <v>190849</v>
      </c>
      <c r="G95" s="15">
        <v>13827</v>
      </c>
    </row>
    <row r="96" spans="1:7" ht="10.5" customHeight="1" x14ac:dyDescent="0.2">
      <c r="A96" s="132" t="s">
        <v>100</v>
      </c>
      <c r="B96" s="24">
        <v>5</v>
      </c>
      <c r="C96" s="19">
        <v>5</v>
      </c>
      <c r="D96" s="19">
        <v>0</v>
      </c>
      <c r="E96" s="24">
        <v>7565</v>
      </c>
      <c r="F96" s="19">
        <v>7270</v>
      </c>
      <c r="G96" s="19">
        <v>295</v>
      </c>
    </row>
    <row r="97" spans="1:7" ht="10.5" customHeight="1" x14ac:dyDescent="0.2">
      <c r="A97" s="132" t="s">
        <v>101</v>
      </c>
      <c r="B97" s="24">
        <v>20</v>
      </c>
      <c r="C97" s="15">
        <v>18</v>
      </c>
      <c r="D97" s="15">
        <v>2</v>
      </c>
      <c r="E97" s="24">
        <v>12898</v>
      </c>
      <c r="F97" s="15">
        <v>12244</v>
      </c>
      <c r="G97" s="15">
        <v>654</v>
      </c>
    </row>
    <row r="98" spans="1:7" ht="10.5" customHeight="1" x14ac:dyDescent="0.2">
      <c r="A98" s="132" t="s">
        <v>102</v>
      </c>
      <c r="B98" s="24">
        <v>5</v>
      </c>
      <c r="C98" s="15">
        <v>5</v>
      </c>
      <c r="D98" s="15">
        <v>0</v>
      </c>
      <c r="E98" s="24">
        <v>7324</v>
      </c>
      <c r="F98" s="15">
        <v>7133</v>
      </c>
      <c r="G98" s="15">
        <v>191</v>
      </c>
    </row>
    <row r="99" spans="1:7" ht="10.5" customHeight="1" x14ac:dyDescent="0.2">
      <c r="A99" s="132"/>
      <c r="B99" s="24"/>
      <c r="C99" s="15"/>
      <c r="D99" s="15"/>
      <c r="E99" s="24"/>
      <c r="F99" s="15"/>
      <c r="G99" s="15"/>
    </row>
    <row r="100" spans="1:7" ht="10.5" customHeight="1" x14ac:dyDescent="0.2">
      <c r="A100" s="130" t="s">
        <v>24</v>
      </c>
      <c r="B100" s="131">
        <v>28444</v>
      </c>
      <c r="C100" s="131">
        <v>2495</v>
      </c>
      <c r="D100" s="131">
        <v>25949</v>
      </c>
      <c r="E100" s="131">
        <v>377679</v>
      </c>
      <c r="F100" s="131">
        <v>286015</v>
      </c>
      <c r="G100" s="131">
        <v>91664</v>
      </c>
    </row>
    <row r="101" spans="1:7" ht="10.5" customHeight="1" x14ac:dyDescent="0.2">
      <c r="A101" s="132" t="s">
        <v>98</v>
      </c>
      <c r="B101" s="24">
        <v>27497</v>
      </c>
      <c r="C101" s="15">
        <v>1977</v>
      </c>
      <c r="D101" s="15">
        <v>25520</v>
      </c>
      <c r="E101" s="24">
        <v>227993</v>
      </c>
      <c r="F101" s="15">
        <v>151011</v>
      </c>
      <c r="G101" s="15">
        <v>76982</v>
      </c>
    </row>
    <row r="102" spans="1:7" ht="10.5" customHeight="1" x14ac:dyDescent="0.2">
      <c r="A102" s="132" t="s">
        <v>99</v>
      </c>
      <c r="B102" s="24">
        <v>819</v>
      </c>
      <c r="C102" s="15">
        <v>432</v>
      </c>
      <c r="D102" s="15">
        <v>387</v>
      </c>
      <c r="E102" s="24">
        <v>131244</v>
      </c>
      <c r="F102" s="15">
        <v>118361</v>
      </c>
      <c r="G102" s="15">
        <v>12883</v>
      </c>
    </row>
    <row r="103" spans="1:7" ht="10.5" customHeight="1" x14ac:dyDescent="0.2">
      <c r="A103" s="132" t="s">
        <v>100</v>
      </c>
      <c r="B103" s="24">
        <v>66</v>
      </c>
      <c r="C103" s="19">
        <v>43</v>
      </c>
      <c r="D103" s="19">
        <v>23</v>
      </c>
      <c r="E103" s="24">
        <v>8184</v>
      </c>
      <c r="F103" s="19">
        <v>7176</v>
      </c>
      <c r="G103" s="19">
        <v>1008</v>
      </c>
    </row>
    <row r="104" spans="1:7" ht="10.5" customHeight="1" x14ac:dyDescent="0.2">
      <c r="A104" s="132" t="s">
        <v>101</v>
      </c>
      <c r="B104" s="24">
        <v>57</v>
      </c>
      <c r="C104" s="15">
        <v>37</v>
      </c>
      <c r="D104" s="15">
        <v>20</v>
      </c>
      <c r="E104" s="24">
        <v>8259</v>
      </c>
      <c r="F104" s="15">
        <v>7451</v>
      </c>
      <c r="G104" s="15">
        <v>808</v>
      </c>
    </row>
    <row r="105" spans="1:7" ht="10.5" customHeight="1" x14ac:dyDescent="0.2">
      <c r="A105" s="132" t="s">
        <v>102</v>
      </c>
      <c r="B105" s="24">
        <v>38</v>
      </c>
      <c r="C105" s="15">
        <v>19</v>
      </c>
      <c r="D105" s="15">
        <v>19</v>
      </c>
      <c r="E105" s="24">
        <v>4870</v>
      </c>
      <c r="F105" s="15">
        <v>4422</v>
      </c>
      <c r="G105" s="15">
        <v>448</v>
      </c>
    </row>
    <row r="106" spans="1:7" ht="10.5" customHeight="1" x14ac:dyDescent="0.2">
      <c r="A106" s="133"/>
      <c r="B106" s="17"/>
      <c r="C106" s="17"/>
      <c r="D106" s="17"/>
      <c r="E106" s="17"/>
      <c r="F106" s="17"/>
      <c r="G106" s="17"/>
    </row>
    <row r="107" spans="1:7" ht="10.5" customHeight="1" x14ac:dyDescent="0.2">
      <c r="A107" s="130" t="s">
        <v>23</v>
      </c>
      <c r="B107" s="131">
        <v>540</v>
      </c>
      <c r="C107" s="131">
        <v>523</v>
      </c>
      <c r="D107" s="131">
        <v>17</v>
      </c>
      <c r="E107" s="131">
        <v>880685</v>
      </c>
      <c r="F107" s="131">
        <v>680636</v>
      </c>
      <c r="G107" s="131">
        <v>200049</v>
      </c>
    </row>
    <row r="108" spans="1:7" ht="10.5" customHeight="1" x14ac:dyDescent="0.2">
      <c r="A108" s="132" t="s">
        <v>98</v>
      </c>
      <c r="B108" s="24">
        <v>221</v>
      </c>
      <c r="C108" s="15">
        <v>219</v>
      </c>
      <c r="D108" s="15">
        <v>2</v>
      </c>
      <c r="E108" s="24">
        <v>495101</v>
      </c>
      <c r="F108" s="15">
        <v>317559</v>
      </c>
      <c r="G108" s="15">
        <v>177542</v>
      </c>
    </row>
    <row r="109" spans="1:7" ht="10.5" customHeight="1" x14ac:dyDescent="0.2">
      <c r="A109" s="132" t="s">
        <v>99</v>
      </c>
      <c r="B109" s="24">
        <v>274</v>
      </c>
      <c r="C109" s="15">
        <v>261</v>
      </c>
      <c r="D109" s="15">
        <v>13</v>
      </c>
      <c r="E109" s="24">
        <v>342056</v>
      </c>
      <c r="F109" s="15">
        <v>320841</v>
      </c>
      <c r="G109" s="15">
        <v>21215</v>
      </c>
    </row>
    <row r="110" spans="1:7" ht="10.5" customHeight="1" x14ac:dyDescent="0.2">
      <c r="A110" s="132" t="s">
        <v>100</v>
      </c>
      <c r="B110" s="24">
        <v>12</v>
      </c>
      <c r="C110" s="19">
        <v>11</v>
      </c>
      <c r="D110" s="19">
        <v>1</v>
      </c>
      <c r="E110" s="24">
        <v>11543</v>
      </c>
      <c r="F110" s="19">
        <v>11168</v>
      </c>
      <c r="G110" s="19">
        <v>375</v>
      </c>
    </row>
    <row r="111" spans="1:7" ht="10.5" customHeight="1" x14ac:dyDescent="0.2">
      <c r="A111" s="132" t="s">
        <v>101</v>
      </c>
      <c r="B111" s="24">
        <v>37</v>
      </c>
      <c r="C111" s="15">
        <v>36</v>
      </c>
      <c r="D111" s="15">
        <v>1</v>
      </c>
      <c r="E111" s="24">
        <v>30789</v>
      </c>
      <c r="F111" s="15">
        <v>29929</v>
      </c>
      <c r="G111" s="15">
        <v>860</v>
      </c>
    </row>
    <row r="112" spans="1:7" ht="10.5" customHeight="1" x14ac:dyDescent="0.2">
      <c r="A112" s="132" t="s">
        <v>102</v>
      </c>
      <c r="B112" s="24">
        <v>12</v>
      </c>
      <c r="C112" s="15">
        <v>7</v>
      </c>
      <c r="D112" s="15">
        <v>5</v>
      </c>
      <c r="E112" s="24">
        <v>12090</v>
      </c>
      <c r="F112" s="15">
        <v>11141</v>
      </c>
      <c r="G112" s="15">
        <v>949</v>
      </c>
    </row>
    <row r="113" spans="1:7" ht="10.5" customHeight="1" x14ac:dyDescent="0.2">
      <c r="A113" s="133"/>
      <c r="B113" s="17"/>
      <c r="C113" s="17"/>
      <c r="D113" s="17"/>
      <c r="E113" s="17"/>
      <c r="F113" s="17"/>
      <c r="G113" s="17"/>
    </row>
    <row r="114" spans="1:7" ht="10.5" customHeight="1" x14ac:dyDescent="0.2">
      <c r="A114" s="130" t="s">
        <v>22</v>
      </c>
      <c r="B114" s="131">
        <v>468</v>
      </c>
      <c r="C114" s="131">
        <v>459</v>
      </c>
      <c r="D114" s="131">
        <v>9</v>
      </c>
      <c r="E114" s="131">
        <v>603105</v>
      </c>
      <c r="F114" s="131">
        <v>509111</v>
      </c>
      <c r="G114" s="131">
        <v>93994</v>
      </c>
    </row>
    <row r="115" spans="1:7" ht="10.5" customHeight="1" x14ac:dyDescent="0.2">
      <c r="A115" s="132" t="s">
        <v>98</v>
      </c>
      <c r="B115" s="24">
        <v>283</v>
      </c>
      <c r="C115" s="15">
        <v>274</v>
      </c>
      <c r="D115" s="15">
        <v>9</v>
      </c>
      <c r="E115" s="24">
        <v>339860</v>
      </c>
      <c r="F115" s="15">
        <v>261930</v>
      </c>
      <c r="G115" s="15">
        <v>77930</v>
      </c>
    </row>
    <row r="116" spans="1:7" ht="10.5" customHeight="1" x14ac:dyDescent="0.2">
      <c r="A116" s="132" t="s">
        <v>99</v>
      </c>
      <c r="B116" s="24">
        <v>154</v>
      </c>
      <c r="C116" s="15">
        <v>154</v>
      </c>
      <c r="D116" s="15">
        <v>0</v>
      </c>
      <c r="E116" s="24">
        <v>228134</v>
      </c>
      <c r="F116" s="15">
        <v>213155</v>
      </c>
      <c r="G116" s="15">
        <v>14979</v>
      </c>
    </row>
    <row r="117" spans="1:7" ht="10.5" customHeight="1" x14ac:dyDescent="0.2">
      <c r="A117" s="132" t="s">
        <v>100</v>
      </c>
      <c r="B117" s="24">
        <v>13</v>
      </c>
      <c r="C117" s="19">
        <v>13</v>
      </c>
      <c r="D117" s="19">
        <v>0</v>
      </c>
      <c r="E117" s="24">
        <v>16367</v>
      </c>
      <c r="F117" s="19">
        <v>15989</v>
      </c>
      <c r="G117" s="19">
        <v>378</v>
      </c>
    </row>
    <row r="118" spans="1:7" ht="10.5" customHeight="1" x14ac:dyDescent="0.2">
      <c r="A118" s="132" t="s">
        <v>101</v>
      </c>
      <c r="B118" s="24">
        <v>16</v>
      </c>
      <c r="C118" s="15">
        <v>16</v>
      </c>
      <c r="D118" s="15">
        <v>0</v>
      </c>
      <c r="E118" s="24">
        <v>15921</v>
      </c>
      <c r="F118" s="15">
        <v>15504</v>
      </c>
      <c r="G118" s="15">
        <v>417</v>
      </c>
    </row>
    <row r="119" spans="1:7" ht="10.5" customHeight="1" x14ac:dyDescent="0.2">
      <c r="A119" s="132" t="s">
        <v>102</v>
      </c>
      <c r="B119" s="24">
        <v>10</v>
      </c>
      <c r="C119" s="15">
        <v>10</v>
      </c>
      <c r="D119" s="15">
        <v>0</v>
      </c>
      <c r="E119" s="24">
        <v>8273</v>
      </c>
      <c r="F119" s="15">
        <v>7886</v>
      </c>
      <c r="G119" s="15">
        <v>387</v>
      </c>
    </row>
    <row r="120" spans="1:7" ht="10.5" customHeight="1" x14ac:dyDescent="0.2">
      <c r="A120" s="133"/>
      <c r="B120" s="17"/>
      <c r="C120" s="17"/>
      <c r="D120" s="17"/>
      <c r="E120" s="17"/>
      <c r="F120" s="17"/>
      <c r="G120" s="17"/>
    </row>
    <row r="121" spans="1:7" ht="10.5" customHeight="1" x14ac:dyDescent="0.2">
      <c r="A121" s="130" t="s">
        <v>21</v>
      </c>
      <c r="B121" s="131">
        <v>10842</v>
      </c>
      <c r="C121" s="131">
        <v>10804</v>
      </c>
      <c r="D121" s="131">
        <v>38</v>
      </c>
      <c r="E121" s="131">
        <v>4448018</v>
      </c>
      <c r="F121" s="131">
        <v>4377341</v>
      </c>
      <c r="G121" s="131">
        <v>70677</v>
      </c>
    </row>
    <row r="122" spans="1:7" ht="10.5" customHeight="1" x14ac:dyDescent="0.2">
      <c r="A122" s="132" t="s">
        <v>98</v>
      </c>
      <c r="B122" s="24">
        <v>4902</v>
      </c>
      <c r="C122" s="15">
        <v>4885</v>
      </c>
      <c r="D122" s="15">
        <v>17</v>
      </c>
      <c r="E122" s="24">
        <v>1547765</v>
      </c>
      <c r="F122" s="15">
        <v>1496991</v>
      </c>
      <c r="G122" s="15">
        <v>50774</v>
      </c>
    </row>
    <row r="123" spans="1:7" ht="10.5" customHeight="1" x14ac:dyDescent="0.2">
      <c r="A123" s="132" t="s">
        <v>99</v>
      </c>
      <c r="B123" s="24">
        <v>4713</v>
      </c>
      <c r="C123" s="15">
        <v>4695</v>
      </c>
      <c r="D123" s="15">
        <v>18</v>
      </c>
      <c r="E123" s="24">
        <v>2199495</v>
      </c>
      <c r="F123" s="15">
        <v>2181446</v>
      </c>
      <c r="G123" s="15">
        <v>18049</v>
      </c>
    </row>
    <row r="124" spans="1:7" ht="10.5" customHeight="1" x14ac:dyDescent="0.2">
      <c r="A124" s="132" t="s">
        <v>100</v>
      </c>
      <c r="B124" s="24">
        <v>395</v>
      </c>
      <c r="C124" s="19">
        <v>393</v>
      </c>
      <c r="D124" s="19">
        <v>2</v>
      </c>
      <c r="E124" s="24">
        <v>197151</v>
      </c>
      <c r="F124" s="19">
        <v>196508</v>
      </c>
      <c r="G124" s="19">
        <v>643</v>
      </c>
    </row>
    <row r="125" spans="1:7" ht="10.5" customHeight="1" x14ac:dyDescent="0.2">
      <c r="A125" s="132" t="s">
        <v>101</v>
      </c>
      <c r="B125" s="24">
        <v>851</v>
      </c>
      <c r="C125" s="15">
        <v>850</v>
      </c>
      <c r="D125" s="15">
        <v>1</v>
      </c>
      <c r="E125" s="24">
        <v>550624</v>
      </c>
      <c r="F125" s="15">
        <v>549619</v>
      </c>
      <c r="G125" s="15">
        <v>1005</v>
      </c>
    </row>
    <row r="126" spans="1:7" ht="10.5" customHeight="1" x14ac:dyDescent="0.2">
      <c r="A126" s="132" t="s">
        <v>102</v>
      </c>
      <c r="B126" s="24">
        <v>252</v>
      </c>
      <c r="C126" s="15">
        <v>251</v>
      </c>
      <c r="D126" s="15">
        <v>1</v>
      </c>
      <c r="E126" s="24">
        <v>117246</v>
      </c>
      <c r="F126" s="15">
        <v>116603</v>
      </c>
      <c r="G126" s="15">
        <v>643</v>
      </c>
    </row>
    <row r="127" spans="1:7" s="1" customFormat="1" ht="3.75" customHeight="1" thickBot="1" x14ac:dyDescent="0.3">
      <c r="A127" s="83"/>
      <c r="B127" s="74"/>
      <c r="C127" s="74"/>
      <c r="D127" s="75"/>
      <c r="E127" s="76"/>
      <c r="F127" s="76"/>
      <c r="G127" s="76"/>
    </row>
    <row r="128" spans="1:7" s="1" customFormat="1" ht="10.5" customHeight="1" x14ac:dyDescent="0.25">
      <c r="A128" s="48"/>
      <c r="B128" s="7"/>
      <c r="C128" s="7"/>
      <c r="D128" s="6"/>
      <c r="E128" s="28"/>
      <c r="F128" s="28"/>
      <c r="G128" s="7" t="s">
        <v>83</v>
      </c>
    </row>
    <row r="129" spans="1:7" ht="12.75" customHeight="1" x14ac:dyDescent="0.2">
      <c r="A129" s="222" t="str">
        <f>A$1</f>
        <v>CUADRO Nº 2.5</v>
      </c>
      <c r="B129" s="222"/>
      <c r="C129" s="222"/>
      <c r="D129" s="222"/>
      <c r="E129" s="222"/>
      <c r="F129" s="222"/>
      <c r="G129" s="222"/>
    </row>
    <row r="130" spans="1:7" ht="20.25" customHeight="1" x14ac:dyDescent="0.2">
      <c r="A130" s="206" t="str">
        <f>A$2</f>
        <v>PERÚ: POBLACIÓN CENSADA INDÍGENA U ORIGINARIA DE LA AMAZONÍA, BLANCA(O), MESTIZA(O) Y OTRA(O) DE 12 Y MÁS AÑOS DE EDAD, POR ÁREA DE RESIDENCIA, SEGÚN TIPO DE AFILIACIÓN DE SEGURO DE SALUD Y DEPARTAMENTO, 2017</v>
      </c>
      <c r="B130" s="206"/>
      <c r="C130" s="206"/>
      <c r="D130" s="206"/>
      <c r="E130" s="206"/>
      <c r="F130" s="206"/>
      <c r="G130" s="206"/>
    </row>
    <row r="131" spans="1:7" s="10" customFormat="1" ht="12.75" customHeight="1" x14ac:dyDescent="0.25">
      <c r="A131" s="215" t="str">
        <f>A$3</f>
        <v>(Cifras absolutas)</v>
      </c>
      <c r="B131" s="215"/>
      <c r="C131" s="215"/>
      <c r="D131" s="215"/>
      <c r="E131" s="215"/>
      <c r="F131" s="215"/>
      <c r="G131" s="215"/>
    </row>
    <row r="132" spans="1:7" s="10" customFormat="1" ht="10.5" customHeight="1" thickBot="1" x14ac:dyDescent="0.3">
      <c r="A132" s="47"/>
      <c r="B132" s="47"/>
      <c r="C132" s="47"/>
      <c r="D132" s="47"/>
      <c r="E132" s="47"/>
      <c r="F132" s="47"/>
      <c r="G132" s="47"/>
    </row>
    <row r="133" spans="1:7" ht="12.75" customHeight="1" thickBot="1" x14ac:dyDescent="0.25">
      <c r="A133" s="223" t="str">
        <f>A$5</f>
        <v>Tipo de afiliación de seguro de salud / Departamento</v>
      </c>
      <c r="B133" s="211" t="str">
        <f>B$5</f>
        <v>Indígena u originaria de la Amazonía</v>
      </c>
      <c r="C133" s="211"/>
      <c r="D133" s="212"/>
      <c r="E133" s="210" t="s">
        <v>116</v>
      </c>
      <c r="F133" s="211"/>
      <c r="G133" s="212"/>
    </row>
    <row r="134" spans="1:7" ht="22.5" customHeight="1" thickBot="1" x14ac:dyDescent="0.25">
      <c r="A134" s="224"/>
      <c r="B134" s="127" t="str">
        <f>B$6</f>
        <v>Total</v>
      </c>
      <c r="C134" s="127" t="str">
        <f>C$6</f>
        <v>Área urbana</v>
      </c>
      <c r="D134" s="127" t="str">
        <f>D$6</f>
        <v>Área Rural</v>
      </c>
      <c r="E134" s="101" t="str">
        <f t="shared" ref="E134:G134" si="1">E$6</f>
        <v>Total</v>
      </c>
      <c r="F134" s="99" t="str">
        <f t="shared" si="1"/>
        <v>Área urbana</v>
      </c>
      <c r="G134" s="100" t="str">
        <f t="shared" si="1"/>
        <v>Área Rural</v>
      </c>
    </row>
    <row r="135" spans="1:7" ht="3.75" customHeight="1" x14ac:dyDescent="0.2">
      <c r="A135" s="135"/>
      <c r="B135" s="23"/>
      <c r="C135" s="23"/>
      <c r="D135" s="22"/>
      <c r="E135" s="22"/>
      <c r="F135" s="22"/>
      <c r="G135" s="22"/>
    </row>
    <row r="136" spans="1:7" ht="10.5" customHeight="1" x14ac:dyDescent="0.2">
      <c r="A136" s="130" t="s">
        <v>20</v>
      </c>
      <c r="B136" s="131">
        <v>44028</v>
      </c>
      <c r="C136" s="131">
        <v>8053</v>
      </c>
      <c r="D136" s="131">
        <v>35975</v>
      </c>
      <c r="E136" s="131">
        <v>445766</v>
      </c>
      <c r="F136" s="131">
        <v>347851</v>
      </c>
      <c r="G136" s="131">
        <v>97915</v>
      </c>
    </row>
    <row r="137" spans="1:7" ht="10.5" customHeight="1" x14ac:dyDescent="0.2">
      <c r="A137" s="132" t="s">
        <v>98</v>
      </c>
      <c r="B137" s="24">
        <v>40995</v>
      </c>
      <c r="C137" s="15">
        <v>6410</v>
      </c>
      <c r="D137" s="15">
        <v>34585</v>
      </c>
      <c r="E137" s="24">
        <v>323608</v>
      </c>
      <c r="F137" s="15">
        <v>231353</v>
      </c>
      <c r="G137" s="15">
        <v>92255</v>
      </c>
    </row>
    <row r="138" spans="1:7" ht="10.5" customHeight="1" x14ac:dyDescent="0.2">
      <c r="A138" s="132" t="s">
        <v>99</v>
      </c>
      <c r="B138" s="24">
        <v>2844</v>
      </c>
      <c r="C138" s="15">
        <v>1527</v>
      </c>
      <c r="D138" s="15">
        <v>1317</v>
      </c>
      <c r="E138" s="24">
        <v>106021</v>
      </c>
      <c r="F138" s="15">
        <v>100870</v>
      </c>
      <c r="G138" s="15">
        <v>5151</v>
      </c>
    </row>
    <row r="139" spans="1:7" ht="10.5" customHeight="1" x14ac:dyDescent="0.2">
      <c r="A139" s="132" t="s">
        <v>100</v>
      </c>
      <c r="B139" s="24">
        <v>57</v>
      </c>
      <c r="C139" s="19">
        <v>45</v>
      </c>
      <c r="D139" s="19">
        <v>12</v>
      </c>
      <c r="E139" s="24">
        <v>8925</v>
      </c>
      <c r="F139" s="19">
        <v>8585</v>
      </c>
      <c r="G139" s="19">
        <v>340</v>
      </c>
    </row>
    <row r="140" spans="1:7" ht="10.5" customHeight="1" x14ac:dyDescent="0.2">
      <c r="A140" s="132" t="s">
        <v>101</v>
      </c>
      <c r="B140" s="24">
        <v>128</v>
      </c>
      <c r="C140" s="15">
        <v>68</v>
      </c>
      <c r="D140" s="15">
        <v>60</v>
      </c>
      <c r="E140" s="24">
        <v>6274</v>
      </c>
      <c r="F140" s="15">
        <v>6077</v>
      </c>
      <c r="G140" s="15">
        <v>197</v>
      </c>
    </row>
    <row r="141" spans="1:7" ht="10.5" customHeight="1" x14ac:dyDescent="0.2">
      <c r="A141" s="132" t="s">
        <v>102</v>
      </c>
      <c r="B141" s="24">
        <v>76</v>
      </c>
      <c r="C141" s="15">
        <v>43</v>
      </c>
      <c r="D141" s="15">
        <v>33</v>
      </c>
      <c r="E141" s="24">
        <v>3231</v>
      </c>
      <c r="F141" s="15">
        <v>3077</v>
      </c>
      <c r="G141" s="15">
        <v>154</v>
      </c>
    </row>
    <row r="142" spans="1:7" ht="10.5" customHeight="1" x14ac:dyDescent="0.2">
      <c r="A142" s="133"/>
      <c r="B142" s="17"/>
      <c r="C142" s="17"/>
      <c r="D142" s="17"/>
      <c r="E142" s="17"/>
      <c r="F142" s="17"/>
      <c r="G142" s="17"/>
    </row>
    <row r="143" spans="1:7" ht="10.5" customHeight="1" x14ac:dyDescent="0.2">
      <c r="A143" s="137" t="s">
        <v>19</v>
      </c>
      <c r="B143" s="131">
        <v>2600</v>
      </c>
      <c r="C143" s="131">
        <v>1006</v>
      </c>
      <c r="D143" s="131">
        <v>1594</v>
      </c>
      <c r="E143" s="131">
        <v>40038</v>
      </c>
      <c r="F143" s="131">
        <v>34191</v>
      </c>
      <c r="G143" s="131">
        <v>5847</v>
      </c>
    </row>
    <row r="144" spans="1:7" ht="10.5" customHeight="1" x14ac:dyDescent="0.2">
      <c r="A144" s="132" t="s">
        <v>98</v>
      </c>
      <c r="B144" s="24">
        <v>2156</v>
      </c>
      <c r="C144" s="15">
        <v>672</v>
      </c>
      <c r="D144" s="15">
        <v>1484</v>
      </c>
      <c r="E144" s="24">
        <v>25557</v>
      </c>
      <c r="F144" s="15">
        <v>21225</v>
      </c>
      <c r="G144" s="15">
        <v>4332</v>
      </c>
    </row>
    <row r="145" spans="1:7" ht="10.5" customHeight="1" x14ac:dyDescent="0.2">
      <c r="A145" s="132" t="s">
        <v>99</v>
      </c>
      <c r="B145" s="24">
        <v>427</v>
      </c>
      <c r="C145" s="15">
        <v>318</v>
      </c>
      <c r="D145" s="15">
        <v>109</v>
      </c>
      <c r="E145" s="24">
        <v>12674</v>
      </c>
      <c r="F145" s="15">
        <v>11459</v>
      </c>
      <c r="G145" s="15">
        <v>1215</v>
      </c>
    </row>
    <row r="146" spans="1:7" ht="10.5" customHeight="1" x14ac:dyDescent="0.2">
      <c r="A146" s="132" t="s">
        <v>100</v>
      </c>
      <c r="B146" s="24">
        <v>3</v>
      </c>
      <c r="C146" s="19">
        <v>2</v>
      </c>
      <c r="D146" s="19">
        <v>1</v>
      </c>
      <c r="E146" s="24">
        <v>956</v>
      </c>
      <c r="F146" s="19">
        <v>789</v>
      </c>
      <c r="G146" s="19">
        <v>167</v>
      </c>
    </row>
    <row r="147" spans="1:7" ht="10.5" customHeight="1" x14ac:dyDescent="0.2">
      <c r="A147" s="132" t="s">
        <v>101</v>
      </c>
      <c r="B147" s="24">
        <v>13</v>
      </c>
      <c r="C147" s="15">
        <v>12</v>
      </c>
      <c r="D147" s="15">
        <v>1</v>
      </c>
      <c r="E147" s="24">
        <v>574</v>
      </c>
      <c r="F147" s="15">
        <v>494</v>
      </c>
      <c r="G147" s="15">
        <v>80</v>
      </c>
    </row>
    <row r="148" spans="1:7" ht="10.5" customHeight="1" x14ac:dyDescent="0.2">
      <c r="A148" s="132" t="s">
        <v>102</v>
      </c>
      <c r="B148" s="24">
        <v>16</v>
      </c>
      <c r="C148" s="15">
        <v>12</v>
      </c>
      <c r="D148" s="15">
        <v>4</v>
      </c>
      <c r="E148" s="24">
        <v>528</v>
      </c>
      <c r="F148" s="15">
        <v>447</v>
      </c>
      <c r="G148" s="15">
        <v>81</v>
      </c>
    </row>
    <row r="149" spans="1:7" s="1" customFormat="1" ht="11.25" customHeight="1" x14ac:dyDescent="0.25">
      <c r="A149" s="126"/>
      <c r="B149" s="7"/>
      <c r="C149" s="7"/>
      <c r="D149" s="6"/>
      <c r="E149" s="4"/>
      <c r="F149" s="4"/>
      <c r="G149" s="4"/>
    </row>
    <row r="150" spans="1:7" ht="10.5" customHeight="1" x14ac:dyDescent="0.2">
      <c r="A150" s="130" t="s">
        <v>12</v>
      </c>
      <c r="B150" s="131">
        <v>100</v>
      </c>
      <c r="C150" s="131">
        <v>93</v>
      </c>
      <c r="D150" s="131">
        <v>7</v>
      </c>
      <c r="E150" s="131">
        <v>66347</v>
      </c>
      <c r="F150" s="131">
        <v>60951</v>
      </c>
      <c r="G150" s="131">
        <v>5396</v>
      </c>
    </row>
    <row r="151" spans="1:7" ht="10.5" customHeight="1" x14ac:dyDescent="0.2">
      <c r="A151" s="132" t="s">
        <v>98</v>
      </c>
      <c r="B151" s="24">
        <v>44</v>
      </c>
      <c r="C151" s="15">
        <v>42</v>
      </c>
      <c r="D151" s="15">
        <v>2</v>
      </c>
      <c r="E151" s="24">
        <v>23416</v>
      </c>
      <c r="F151" s="15">
        <v>20617</v>
      </c>
      <c r="G151" s="15">
        <v>2799</v>
      </c>
    </row>
    <row r="152" spans="1:7" ht="10.5" customHeight="1" x14ac:dyDescent="0.2">
      <c r="A152" s="132" t="s">
        <v>99</v>
      </c>
      <c r="B152" s="24">
        <v>48</v>
      </c>
      <c r="C152" s="15">
        <v>43</v>
      </c>
      <c r="D152" s="15">
        <v>5</v>
      </c>
      <c r="E152" s="24">
        <v>36786</v>
      </c>
      <c r="F152" s="15">
        <v>34645</v>
      </c>
      <c r="G152" s="15">
        <v>2141</v>
      </c>
    </row>
    <row r="153" spans="1:7" ht="10.5" customHeight="1" x14ac:dyDescent="0.2">
      <c r="A153" s="132" t="s">
        <v>100</v>
      </c>
      <c r="B153" s="24">
        <v>3</v>
      </c>
      <c r="C153" s="19">
        <v>3</v>
      </c>
      <c r="D153" s="19">
        <v>0</v>
      </c>
      <c r="E153" s="24">
        <v>1747</v>
      </c>
      <c r="F153" s="19">
        <v>1508</v>
      </c>
      <c r="G153" s="19">
        <v>239</v>
      </c>
    </row>
    <row r="154" spans="1:7" ht="10.5" customHeight="1" x14ac:dyDescent="0.2">
      <c r="A154" s="132" t="s">
        <v>101</v>
      </c>
      <c r="B154" s="24">
        <v>2</v>
      </c>
      <c r="C154" s="15">
        <v>2</v>
      </c>
      <c r="D154" s="15">
        <v>0</v>
      </c>
      <c r="E154" s="24">
        <v>3727</v>
      </c>
      <c r="F154" s="15">
        <v>3528</v>
      </c>
      <c r="G154" s="15">
        <v>199</v>
      </c>
    </row>
    <row r="155" spans="1:7" ht="10.5" customHeight="1" x14ac:dyDescent="0.2">
      <c r="A155" s="132" t="s">
        <v>102</v>
      </c>
      <c r="B155" s="24">
        <v>3</v>
      </c>
      <c r="C155" s="15">
        <v>3</v>
      </c>
      <c r="D155" s="15">
        <v>0</v>
      </c>
      <c r="E155" s="24">
        <v>1852</v>
      </c>
      <c r="F155" s="15">
        <v>1493</v>
      </c>
      <c r="G155" s="15">
        <v>359</v>
      </c>
    </row>
    <row r="156" spans="1:7" ht="10.5" customHeight="1" x14ac:dyDescent="0.2">
      <c r="A156" s="133"/>
      <c r="B156" s="17"/>
      <c r="C156" s="17"/>
      <c r="D156" s="17"/>
      <c r="E156" s="17"/>
      <c r="F156" s="17"/>
      <c r="G156" s="17"/>
    </row>
    <row r="157" spans="1:7" ht="10.5" customHeight="1" x14ac:dyDescent="0.2">
      <c r="A157" s="130" t="s">
        <v>11</v>
      </c>
      <c r="B157" s="131">
        <v>9895</v>
      </c>
      <c r="C157" s="131">
        <v>1584</v>
      </c>
      <c r="D157" s="131">
        <v>8311</v>
      </c>
      <c r="E157" s="131">
        <v>80914</v>
      </c>
      <c r="F157" s="131">
        <v>56870</v>
      </c>
      <c r="G157" s="131">
        <v>24044</v>
      </c>
    </row>
    <row r="158" spans="1:7" ht="10.5" customHeight="1" x14ac:dyDescent="0.2">
      <c r="A158" s="132" t="s">
        <v>98</v>
      </c>
      <c r="B158" s="24">
        <v>9377</v>
      </c>
      <c r="C158" s="15">
        <v>1294</v>
      </c>
      <c r="D158" s="15">
        <v>8083</v>
      </c>
      <c r="E158" s="24">
        <v>47926</v>
      </c>
      <c r="F158" s="15">
        <v>29435</v>
      </c>
      <c r="G158" s="15">
        <v>18491</v>
      </c>
    </row>
    <row r="159" spans="1:7" ht="10.5" customHeight="1" x14ac:dyDescent="0.2">
      <c r="A159" s="132" t="s">
        <v>99</v>
      </c>
      <c r="B159" s="24">
        <v>496</v>
      </c>
      <c r="C159" s="15">
        <v>275</v>
      </c>
      <c r="D159" s="15">
        <v>221</v>
      </c>
      <c r="E159" s="24">
        <v>30602</v>
      </c>
      <c r="F159" s="15">
        <v>25530</v>
      </c>
      <c r="G159" s="15">
        <v>5072</v>
      </c>
    </row>
    <row r="160" spans="1:7" ht="10.5" customHeight="1" x14ac:dyDescent="0.2">
      <c r="A160" s="132" t="s">
        <v>100</v>
      </c>
      <c r="B160" s="24">
        <v>15</v>
      </c>
      <c r="C160" s="19">
        <v>12</v>
      </c>
      <c r="D160" s="19">
        <v>3</v>
      </c>
      <c r="E160" s="24">
        <v>945</v>
      </c>
      <c r="F160" s="19">
        <v>813</v>
      </c>
      <c r="G160" s="19">
        <v>132</v>
      </c>
    </row>
    <row r="161" spans="1:7" ht="10.5" customHeight="1" x14ac:dyDescent="0.2">
      <c r="A161" s="132" t="s">
        <v>101</v>
      </c>
      <c r="B161" s="24">
        <v>5</v>
      </c>
      <c r="C161" s="15">
        <v>5</v>
      </c>
      <c r="D161" s="15">
        <v>0</v>
      </c>
      <c r="E161" s="24">
        <v>1169</v>
      </c>
      <c r="F161" s="15">
        <v>910</v>
      </c>
      <c r="G161" s="15">
        <v>259</v>
      </c>
    </row>
    <row r="162" spans="1:7" ht="10.5" customHeight="1" x14ac:dyDescent="0.2">
      <c r="A162" s="132" t="s">
        <v>102</v>
      </c>
      <c r="B162" s="24">
        <v>5</v>
      </c>
      <c r="C162" s="15">
        <v>0</v>
      </c>
      <c r="D162" s="15">
        <v>5</v>
      </c>
      <c r="E162" s="24">
        <v>582</v>
      </c>
      <c r="F162" s="15">
        <v>438</v>
      </c>
      <c r="G162" s="15">
        <v>144</v>
      </c>
    </row>
    <row r="163" spans="1:7" ht="10.5" customHeight="1" x14ac:dyDescent="0.2">
      <c r="A163" s="136"/>
      <c r="B163" s="17"/>
      <c r="C163" s="17"/>
      <c r="D163" s="17"/>
      <c r="E163" s="17"/>
      <c r="F163" s="17"/>
      <c r="G163" s="17"/>
    </row>
    <row r="164" spans="1:7" ht="10.5" customHeight="1" x14ac:dyDescent="0.2">
      <c r="A164" s="130" t="s">
        <v>10</v>
      </c>
      <c r="B164" s="131">
        <v>298</v>
      </c>
      <c r="C164" s="131">
        <v>285</v>
      </c>
      <c r="D164" s="131">
        <v>13</v>
      </c>
      <c r="E164" s="131">
        <v>923870</v>
      </c>
      <c r="F164" s="131">
        <v>729272</v>
      </c>
      <c r="G164" s="131">
        <v>194598</v>
      </c>
    </row>
    <row r="165" spans="1:7" ht="10.5" customHeight="1" x14ac:dyDescent="0.2">
      <c r="A165" s="132" t="s">
        <v>98</v>
      </c>
      <c r="B165" s="24">
        <v>153</v>
      </c>
      <c r="C165" s="15">
        <v>143</v>
      </c>
      <c r="D165" s="15">
        <v>10</v>
      </c>
      <c r="E165" s="24">
        <v>581456</v>
      </c>
      <c r="F165" s="15">
        <v>403353</v>
      </c>
      <c r="G165" s="15">
        <v>178103</v>
      </c>
    </row>
    <row r="166" spans="1:7" ht="10.5" customHeight="1" x14ac:dyDescent="0.2">
      <c r="A166" s="132" t="s">
        <v>99</v>
      </c>
      <c r="B166" s="24">
        <v>107</v>
      </c>
      <c r="C166" s="15">
        <v>105</v>
      </c>
      <c r="D166" s="15">
        <v>2</v>
      </c>
      <c r="E166" s="24">
        <v>293120</v>
      </c>
      <c r="F166" s="15">
        <v>278084</v>
      </c>
      <c r="G166" s="15">
        <v>15036</v>
      </c>
    </row>
    <row r="167" spans="1:7" ht="10.5" customHeight="1" x14ac:dyDescent="0.2">
      <c r="A167" s="132" t="s">
        <v>100</v>
      </c>
      <c r="B167" s="24">
        <v>18</v>
      </c>
      <c r="C167" s="19">
        <v>18</v>
      </c>
      <c r="D167" s="19">
        <v>0</v>
      </c>
      <c r="E167" s="24">
        <v>15570</v>
      </c>
      <c r="F167" s="19">
        <v>15069</v>
      </c>
      <c r="G167" s="19">
        <v>501</v>
      </c>
    </row>
    <row r="168" spans="1:7" ht="10.5" customHeight="1" x14ac:dyDescent="0.2">
      <c r="A168" s="132" t="s">
        <v>101</v>
      </c>
      <c r="B168" s="24">
        <v>15</v>
      </c>
      <c r="C168" s="15">
        <v>15</v>
      </c>
      <c r="D168" s="15">
        <v>0</v>
      </c>
      <c r="E168" s="24">
        <v>31509</v>
      </c>
      <c r="F168" s="15">
        <v>30818</v>
      </c>
      <c r="G168" s="15">
        <v>691</v>
      </c>
    </row>
    <row r="169" spans="1:7" ht="10.5" customHeight="1" x14ac:dyDescent="0.2">
      <c r="A169" s="132" t="s">
        <v>102</v>
      </c>
      <c r="B169" s="24">
        <v>11</v>
      </c>
      <c r="C169" s="15">
        <v>10</v>
      </c>
      <c r="D169" s="15">
        <v>1</v>
      </c>
      <c r="E169" s="24">
        <v>14184</v>
      </c>
      <c r="F169" s="15">
        <v>13642</v>
      </c>
      <c r="G169" s="15">
        <v>542</v>
      </c>
    </row>
    <row r="170" spans="1:7" ht="10.5" customHeight="1" x14ac:dyDescent="0.2">
      <c r="A170" s="133"/>
      <c r="B170" s="17"/>
      <c r="C170" s="17"/>
      <c r="D170" s="17"/>
      <c r="E170" s="17"/>
      <c r="F170" s="17"/>
      <c r="G170" s="17"/>
    </row>
    <row r="171" spans="1:7" ht="10.5" customHeight="1" x14ac:dyDescent="0.2">
      <c r="A171" s="130" t="s">
        <v>9</v>
      </c>
      <c r="B171" s="131">
        <v>82</v>
      </c>
      <c r="C171" s="131">
        <v>65</v>
      </c>
      <c r="D171" s="131">
        <v>17</v>
      </c>
      <c r="E171" s="131">
        <v>47352</v>
      </c>
      <c r="F171" s="131">
        <v>39688</v>
      </c>
      <c r="G171" s="131">
        <v>7664</v>
      </c>
    </row>
    <row r="172" spans="1:7" ht="10.5" customHeight="1" x14ac:dyDescent="0.2">
      <c r="A172" s="132" t="s">
        <v>98</v>
      </c>
      <c r="B172" s="24">
        <v>39</v>
      </c>
      <c r="C172" s="15">
        <v>28</v>
      </c>
      <c r="D172" s="15">
        <v>11</v>
      </c>
      <c r="E172" s="24">
        <v>23420</v>
      </c>
      <c r="F172" s="15">
        <v>17486</v>
      </c>
      <c r="G172" s="15">
        <v>5934</v>
      </c>
    </row>
    <row r="173" spans="1:7" ht="10.5" customHeight="1" x14ac:dyDescent="0.2">
      <c r="A173" s="132" t="s">
        <v>99</v>
      </c>
      <c r="B173" s="24">
        <v>34</v>
      </c>
      <c r="C173" s="15">
        <v>30</v>
      </c>
      <c r="D173" s="15">
        <v>4</v>
      </c>
      <c r="E173" s="24">
        <v>20053</v>
      </c>
      <c r="F173" s="15">
        <v>18700</v>
      </c>
      <c r="G173" s="15">
        <v>1353</v>
      </c>
    </row>
    <row r="174" spans="1:7" ht="10.5" customHeight="1" x14ac:dyDescent="0.2">
      <c r="A174" s="132" t="s">
        <v>100</v>
      </c>
      <c r="B174" s="24">
        <v>5</v>
      </c>
      <c r="C174" s="19">
        <v>4</v>
      </c>
      <c r="D174" s="19">
        <v>1</v>
      </c>
      <c r="E174" s="24">
        <v>2636</v>
      </c>
      <c r="F174" s="19">
        <v>2402</v>
      </c>
      <c r="G174" s="19">
        <v>234</v>
      </c>
    </row>
    <row r="175" spans="1:7" ht="10.5" customHeight="1" x14ac:dyDescent="0.2">
      <c r="A175" s="132" t="s">
        <v>101</v>
      </c>
      <c r="B175" s="24">
        <v>3</v>
      </c>
      <c r="C175" s="15">
        <v>2</v>
      </c>
      <c r="D175" s="15">
        <v>1</v>
      </c>
      <c r="E175" s="24">
        <v>1175</v>
      </c>
      <c r="F175" s="15">
        <v>1019</v>
      </c>
      <c r="G175" s="15">
        <v>156</v>
      </c>
    </row>
    <row r="176" spans="1:7" ht="10.5" customHeight="1" x14ac:dyDescent="0.2">
      <c r="A176" s="132" t="s">
        <v>102</v>
      </c>
      <c r="B176" s="24">
        <v>3</v>
      </c>
      <c r="C176" s="15">
        <v>3</v>
      </c>
      <c r="D176" s="15">
        <v>0</v>
      </c>
      <c r="E176" s="24">
        <v>605</v>
      </c>
      <c r="F176" s="15">
        <v>537</v>
      </c>
      <c r="G176" s="15">
        <v>68</v>
      </c>
    </row>
    <row r="177" spans="1:7" ht="10.5" customHeight="1" x14ac:dyDescent="0.2">
      <c r="A177" s="133"/>
      <c r="B177" s="17"/>
      <c r="C177" s="17"/>
      <c r="D177" s="17"/>
      <c r="E177" s="17"/>
      <c r="F177" s="17"/>
      <c r="G177" s="17"/>
    </row>
    <row r="178" spans="1:7" ht="10.5" customHeight="1" x14ac:dyDescent="0.2">
      <c r="A178" s="130" t="s">
        <v>8</v>
      </c>
      <c r="B178" s="131">
        <v>3386</v>
      </c>
      <c r="C178" s="131">
        <v>1536</v>
      </c>
      <c r="D178" s="131">
        <v>1850</v>
      </c>
      <c r="E178" s="131">
        <v>436309</v>
      </c>
      <c r="F178" s="131">
        <v>308269</v>
      </c>
      <c r="G178" s="131">
        <v>128040</v>
      </c>
    </row>
    <row r="179" spans="1:7" ht="10.5" customHeight="1" x14ac:dyDescent="0.2">
      <c r="A179" s="132" t="s">
        <v>98</v>
      </c>
      <c r="B179" s="24">
        <v>2836</v>
      </c>
      <c r="C179" s="15">
        <v>1148</v>
      </c>
      <c r="D179" s="15">
        <v>1688</v>
      </c>
      <c r="E179" s="24">
        <v>336799</v>
      </c>
      <c r="F179" s="15">
        <v>216588</v>
      </c>
      <c r="G179" s="15">
        <v>120211</v>
      </c>
    </row>
    <row r="180" spans="1:7" ht="10.5" customHeight="1" x14ac:dyDescent="0.2">
      <c r="A180" s="132" t="s">
        <v>99</v>
      </c>
      <c r="B180" s="24">
        <v>497</v>
      </c>
      <c r="C180" s="15">
        <v>345</v>
      </c>
      <c r="D180" s="15">
        <v>152</v>
      </c>
      <c r="E180" s="24">
        <v>88483</v>
      </c>
      <c r="F180" s="15">
        <v>81407</v>
      </c>
      <c r="G180" s="15">
        <v>7076</v>
      </c>
    </row>
    <row r="181" spans="1:7" ht="10.5" customHeight="1" x14ac:dyDescent="0.2">
      <c r="A181" s="132" t="s">
        <v>100</v>
      </c>
      <c r="B181" s="24">
        <v>23</v>
      </c>
      <c r="C181" s="19">
        <v>20</v>
      </c>
      <c r="D181" s="19">
        <v>3</v>
      </c>
      <c r="E181" s="24">
        <v>5193</v>
      </c>
      <c r="F181" s="19">
        <v>4796</v>
      </c>
      <c r="G181" s="19">
        <v>397</v>
      </c>
    </row>
    <row r="182" spans="1:7" ht="10.5" customHeight="1" x14ac:dyDescent="0.2">
      <c r="A182" s="132" t="s">
        <v>101</v>
      </c>
      <c r="B182" s="24">
        <v>18</v>
      </c>
      <c r="C182" s="15">
        <v>16</v>
      </c>
      <c r="D182" s="15">
        <v>2</v>
      </c>
      <c r="E182" s="24">
        <v>4087</v>
      </c>
      <c r="F182" s="15">
        <v>3865</v>
      </c>
      <c r="G182" s="15">
        <v>222</v>
      </c>
    </row>
    <row r="183" spans="1:7" ht="10.5" customHeight="1" x14ac:dyDescent="0.2">
      <c r="A183" s="132" t="s">
        <v>102</v>
      </c>
      <c r="B183" s="24">
        <v>20</v>
      </c>
      <c r="C183" s="15">
        <v>15</v>
      </c>
      <c r="D183" s="15">
        <v>5</v>
      </c>
      <c r="E183" s="24">
        <v>3726</v>
      </c>
      <c r="F183" s="15">
        <v>3443</v>
      </c>
      <c r="G183" s="15">
        <v>283</v>
      </c>
    </row>
    <row r="184" spans="1:7" ht="10.5" customHeight="1" x14ac:dyDescent="0.2">
      <c r="A184" s="133"/>
      <c r="B184" s="17"/>
      <c r="C184" s="17"/>
      <c r="D184" s="17"/>
      <c r="E184" s="17"/>
      <c r="F184" s="17"/>
      <c r="G184" s="17"/>
    </row>
    <row r="185" spans="1:7" ht="10.5" customHeight="1" x14ac:dyDescent="0.2">
      <c r="A185" s="130" t="s">
        <v>7</v>
      </c>
      <c r="B185" s="131">
        <v>166</v>
      </c>
      <c r="C185" s="131">
        <v>155</v>
      </c>
      <c r="D185" s="131">
        <v>11</v>
      </c>
      <c r="E185" s="131">
        <v>93408</v>
      </c>
      <c r="F185" s="131">
        <v>84702</v>
      </c>
      <c r="G185" s="131">
        <v>8706</v>
      </c>
    </row>
    <row r="186" spans="1:7" ht="10.5" customHeight="1" x14ac:dyDescent="0.2">
      <c r="A186" s="132" t="s">
        <v>98</v>
      </c>
      <c r="B186" s="24">
        <v>86</v>
      </c>
      <c r="C186" s="15">
        <v>78</v>
      </c>
      <c r="D186" s="15">
        <v>8</v>
      </c>
      <c r="E186" s="24">
        <v>35988</v>
      </c>
      <c r="F186" s="15">
        <v>30612</v>
      </c>
      <c r="G186" s="15">
        <v>5376</v>
      </c>
    </row>
    <row r="187" spans="1:7" ht="10.5" customHeight="1" x14ac:dyDescent="0.2">
      <c r="A187" s="132" t="s">
        <v>99</v>
      </c>
      <c r="B187" s="24">
        <v>61</v>
      </c>
      <c r="C187" s="15">
        <v>60</v>
      </c>
      <c r="D187" s="15">
        <v>1</v>
      </c>
      <c r="E187" s="24">
        <v>48193</v>
      </c>
      <c r="F187" s="15">
        <v>45475</v>
      </c>
      <c r="G187" s="15">
        <v>2718</v>
      </c>
    </row>
    <row r="188" spans="1:7" ht="10.5" customHeight="1" x14ac:dyDescent="0.2">
      <c r="A188" s="132" t="s">
        <v>100</v>
      </c>
      <c r="B188" s="24">
        <v>10</v>
      </c>
      <c r="C188" s="19">
        <v>8</v>
      </c>
      <c r="D188" s="19">
        <v>2</v>
      </c>
      <c r="E188" s="24">
        <v>3719</v>
      </c>
      <c r="F188" s="19">
        <v>3395</v>
      </c>
      <c r="G188" s="19">
        <v>324</v>
      </c>
    </row>
    <row r="189" spans="1:7" ht="10.5" customHeight="1" x14ac:dyDescent="0.2">
      <c r="A189" s="132" t="s">
        <v>101</v>
      </c>
      <c r="B189" s="24">
        <v>8</v>
      </c>
      <c r="C189" s="15">
        <v>8</v>
      </c>
      <c r="D189" s="15">
        <v>0</v>
      </c>
      <c r="E189" s="24">
        <v>4599</v>
      </c>
      <c r="F189" s="15">
        <v>4301</v>
      </c>
      <c r="G189" s="15">
        <v>298</v>
      </c>
    </row>
    <row r="190" spans="1:7" ht="10.5" customHeight="1" x14ac:dyDescent="0.2">
      <c r="A190" s="132" t="s">
        <v>102</v>
      </c>
      <c r="B190" s="24">
        <v>6</v>
      </c>
      <c r="C190" s="15">
        <v>6</v>
      </c>
      <c r="D190" s="15">
        <v>0</v>
      </c>
      <c r="E190" s="24">
        <v>2469</v>
      </c>
      <c r="F190" s="15">
        <v>2307</v>
      </c>
      <c r="G190" s="15">
        <v>162</v>
      </c>
    </row>
    <row r="191" spans="1:7" s="1" customFormat="1" ht="3.75" customHeight="1" thickBot="1" x14ac:dyDescent="0.3">
      <c r="A191" s="83"/>
      <c r="B191" s="74"/>
      <c r="C191" s="74"/>
      <c r="D191" s="75"/>
      <c r="E191" s="76"/>
      <c r="F191" s="76"/>
      <c r="G191" s="76"/>
    </row>
    <row r="192" spans="1:7" s="1" customFormat="1" ht="10.5" customHeight="1" x14ac:dyDescent="0.25">
      <c r="A192" s="48"/>
      <c r="B192" s="7"/>
      <c r="C192" s="7"/>
      <c r="D192" s="6"/>
      <c r="E192" s="28"/>
      <c r="F192" s="28"/>
      <c r="G192" s="7" t="s">
        <v>83</v>
      </c>
    </row>
    <row r="193" spans="1:7" ht="12.75" customHeight="1" x14ac:dyDescent="0.2">
      <c r="A193" s="222" t="str">
        <f>A$1</f>
        <v>CUADRO Nº 2.5</v>
      </c>
      <c r="B193" s="222"/>
      <c r="C193" s="222"/>
      <c r="D193" s="222"/>
      <c r="E193" s="222"/>
      <c r="F193" s="222"/>
      <c r="G193" s="222"/>
    </row>
    <row r="194" spans="1:7" ht="20.25" customHeight="1" x14ac:dyDescent="0.2">
      <c r="A194" s="206" t="str">
        <f>A$2</f>
        <v>PERÚ: POBLACIÓN CENSADA INDÍGENA U ORIGINARIA DE LA AMAZONÍA, BLANCA(O), MESTIZA(O) Y OTRA(O) DE 12 Y MÁS AÑOS DE EDAD, POR ÁREA DE RESIDENCIA, SEGÚN TIPO DE AFILIACIÓN DE SEGURO DE SALUD Y DEPARTAMENTO, 2017</v>
      </c>
      <c r="B194" s="206"/>
      <c r="C194" s="206"/>
      <c r="D194" s="206"/>
      <c r="E194" s="206"/>
      <c r="F194" s="206"/>
      <c r="G194" s="206"/>
    </row>
    <row r="195" spans="1:7" s="10" customFormat="1" ht="12.75" customHeight="1" x14ac:dyDescent="0.25">
      <c r="A195" s="215" t="str">
        <f>A$3</f>
        <v>(Cifras absolutas)</v>
      </c>
      <c r="B195" s="215"/>
      <c r="C195" s="215"/>
      <c r="D195" s="215"/>
      <c r="E195" s="215"/>
      <c r="F195" s="215"/>
      <c r="G195" s="215"/>
    </row>
    <row r="196" spans="1:7" s="10" customFormat="1" ht="10.5" customHeight="1" thickBot="1" x14ac:dyDescent="0.3">
      <c r="A196" s="47"/>
      <c r="B196" s="47"/>
      <c r="C196" s="47"/>
      <c r="D196" s="47"/>
      <c r="E196" s="47"/>
      <c r="F196" s="47"/>
      <c r="G196" s="6" t="s">
        <v>16</v>
      </c>
    </row>
    <row r="197" spans="1:7" ht="12.75" customHeight="1" thickBot="1" x14ac:dyDescent="0.25">
      <c r="A197" s="223" t="str">
        <f>A$5</f>
        <v>Tipo de afiliación de seguro de salud / Departamento</v>
      </c>
      <c r="B197" s="211" t="str">
        <f>B$5</f>
        <v>Indígena u originaria de la Amazonía</v>
      </c>
      <c r="C197" s="211"/>
      <c r="D197" s="212"/>
      <c r="E197" s="210" t="s">
        <v>116</v>
      </c>
      <c r="F197" s="211"/>
      <c r="G197" s="212"/>
    </row>
    <row r="198" spans="1:7" ht="22.5" customHeight="1" thickBot="1" x14ac:dyDescent="0.25">
      <c r="A198" s="224"/>
      <c r="B198" s="127" t="str">
        <f>B$6</f>
        <v>Total</v>
      </c>
      <c r="C198" s="127" t="str">
        <f>C$6</f>
        <v>Área urbana</v>
      </c>
      <c r="D198" s="127" t="str">
        <f>D$6</f>
        <v>Área Rural</v>
      </c>
      <c r="E198" s="101" t="str">
        <f t="shared" ref="E198:G198" si="2">E$6</f>
        <v>Total</v>
      </c>
      <c r="F198" s="99" t="str">
        <f t="shared" si="2"/>
        <v>Área urbana</v>
      </c>
      <c r="G198" s="100" t="str">
        <f t="shared" si="2"/>
        <v>Área Rural</v>
      </c>
    </row>
    <row r="199" spans="1:7" ht="3.75" customHeight="1" x14ac:dyDescent="0.2">
      <c r="A199" s="135"/>
      <c r="B199" s="23"/>
      <c r="C199" s="23"/>
      <c r="D199" s="22"/>
      <c r="E199" s="22"/>
      <c r="F199" s="22"/>
      <c r="G199" s="22"/>
    </row>
    <row r="200" spans="1:7" ht="10.5" customHeight="1" x14ac:dyDescent="0.2">
      <c r="A200" s="130" t="s">
        <v>6</v>
      </c>
      <c r="B200" s="131">
        <v>92</v>
      </c>
      <c r="C200" s="131">
        <v>90</v>
      </c>
      <c r="D200" s="131">
        <v>2</v>
      </c>
      <c r="E200" s="131">
        <v>121851</v>
      </c>
      <c r="F200" s="131">
        <v>113877</v>
      </c>
      <c r="G200" s="131">
        <v>7974</v>
      </c>
    </row>
    <row r="201" spans="1:7" ht="10.5" customHeight="1" x14ac:dyDescent="0.2">
      <c r="A201" s="132" t="s">
        <v>98</v>
      </c>
      <c r="B201" s="24">
        <v>65</v>
      </c>
      <c r="C201" s="15">
        <v>63</v>
      </c>
      <c r="D201" s="15">
        <v>2</v>
      </c>
      <c r="E201" s="24">
        <v>81810</v>
      </c>
      <c r="F201" s="15">
        <v>75166</v>
      </c>
      <c r="G201" s="15">
        <v>6644</v>
      </c>
    </row>
    <row r="202" spans="1:7" ht="10.5" customHeight="1" x14ac:dyDescent="0.2">
      <c r="A202" s="132" t="s">
        <v>99</v>
      </c>
      <c r="B202" s="24">
        <v>15</v>
      </c>
      <c r="C202" s="15">
        <v>15</v>
      </c>
      <c r="D202" s="15">
        <v>0</v>
      </c>
      <c r="E202" s="24">
        <v>34245</v>
      </c>
      <c r="F202" s="15">
        <v>33067</v>
      </c>
      <c r="G202" s="15">
        <v>1178</v>
      </c>
    </row>
    <row r="203" spans="1:7" ht="10.5" customHeight="1" x14ac:dyDescent="0.2">
      <c r="A203" s="132" t="s">
        <v>100</v>
      </c>
      <c r="B203" s="24">
        <v>10</v>
      </c>
      <c r="C203" s="19">
        <v>10</v>
      </c>
      <c r="D203" s="19">
        <v>0</v>
      </c>
      <c r="E203" s="24">
        <v>3781</v>
      </c>
      <c r="F203" s="19">
        <v>3722</v>
      </c>
      <c r="G203" s="19">
        <v>59</v>
      </c>
    </row>
    <row r="204" spans="1:7" ht="10.5" customHeight="1" x14ac:dyDescent="0.2">
      <c r="A204" s="132" t="s">
        <v>101</v>
      </c>
      <c r="B204" s="24">
        <v>0</v>
      </c>
      <c r="C204" s="15">
        <v>0</v>
      </c>
      <c r="D204" s="15">
        <v>0</v>
      </c>
      <c r="E204" s="24">
        <v>1808</v>
      </c>
      <c r="F204" s="15">
        <v>1749</v>
      </c>
      <c r="G204" s="15">
        <v>59</v>
      </c>
    </row>
    <row r="205" spans="1:7" ht="10.5" customHeight="1" x14ac:dyDescent="0.2">
      <c r="A205" s="132" t="s">
        <v>102</v>
      </c>
      <c r="B205" s="24">
        <v>3</v>
      </c>
      <c r="C205" s="15">
        <v>3</v>
      </c>
      <c r="D205" s="15">
        <v>0</v>
      </c>
      <c r="E205" s="24">
        <v>969</v>
      </c>
      <c r="F205" s="15">
        <v>921</v>
      </c>
      <c r="G205" s="15">
        <v>48</v>
      </c>
    </row>
    <row r="206" spans="1:7" ht="10.5" customHeight="1" x14ac:dyDescent="0.2">
      <c r="A206" s="133"/>
      <c r="B206" s="17"/>
      <c r="C206" s="17"/>
      <c r="D206" s="17"/>
      <c r="E206" s="17"/>
      <c r="F206" s="17"/>
      <c r="G206" s="17"/>
    </row>
    <row r="207" spans="1:7" ht="10.5" customHeight="1" x14ac:dyDescent="0.2">
      <c r="A207" s="130" t="s">
        <v>5</v>
      </c>
      <c r="B207" s="131">
        <v>28695</v>
      </c>
      <c r="C207" s="131">
        <v>9471</v>
      </c>
      <c r="D207" s="131">
        <v>19224</v>
      </c>
      <c r="E207" s="131">
        <v>208775</v>
      </c>
      <c r="F207" s="131">
        <v>187324</v>
      </c>
      <c r="G207" s="131">
        <v>21451</v>
      </c>
    </row>
    <row r="208" spans="1:7" ht="10.5" customHeight="1" x14ac:dyDescent="0.2">
      <c r="A208" s="132" t="s">
        <v>98</v>
      </c>
      <c r="B208" s="24">
        <v>26426</v>
      </c>
      <c r="C208" s="15">
        <v>7705</v>
      </c>
      <c r="D208" s="15">
        <v>18721</v>
      </c>
      <c r="E208" s="24">
        <v>144159</v>
      </c>
      <c r="F208" s="15">
        <v>124390</v>
      </c>
      <c r="G208" s="15">
        <v>19769</v>
      </c>
    </row>
    <row r="209" spans="1:7" ht="10.5" customHeight="1" x14ac:dyDescent="0.2">
      <c r="A209" s="132" t="s">
        <v>99</v>
      </c>
      <c r="B209" s="24">
        <v>2127</v>
      </c>
      <c r="C209" s="15">
        <v>1655</v>
      </c>
      <c r="D209" s="15">
        <v>472</v>
      </c>
      <c r="E209" s="24">
        <v>56482</v>
      </c>
      <c r="F209" s="15">
        <v>55067</v>
      </c>
      <c r="G209" s="15">
        <v>1415</v>
      </c>
    </row>
    <row r="210" spans="1:7" ht="10.5" customHeight="1" x14ac:dyDescent="0.2">
      <c r="A210" s="132" t="s">
        <v>100</v>
      </c>
      <c r="B210" s="24">
        <v>57</v>
      </c>
      <c r="C210" s="19">
        <v>47</v>
      </c>
      <c r="D210" s="19">
        <v>10</v>
      </c>
      <c r="E210" s="24">
        <v>4017</v>
      </c>
      <c r="F210" s="19">
        <v>3895</v>
      </c>
      <c r="G210" s="19">
        <v>122</v>
      </c>
    </row>
    <row r="211" spans="1:7" ht="10.5" customHeight="1" x14ac:dyDescent="0.2">
      <c r="A211" s="132" t="s">
        <v>101</v>
      </c>
      <c r="B211" s="24">
        <v>81</v>
      </c>
      <c r="C211" s="15">
        <v>63</v>
      </c>
      <c r="D211" s="15">
        <v>18</v>
      </c>
      <c r="E211" s="24">
        <v>3564</v>
      </c>
      <c r="F211" s="15">
        <v>3457</v>
      </c>
      <c r="G211" s="15">
        <v>107</v>
      </c>
    </row>
    <row r="212" spans="1:7" ht="10.5" customHeight="1" x14ac:dyDescent="0.2">
      <c r="A212" s="132" t="s">
        <v>102</v>
      </c>
      <c r="B212" s="24">
        <v>64</v>
      </c>
      <c r="C212" s="15">
        <v>44</v>
      </c>
      <c r="D212" s="15">
        <v>20</v>
      </c>
      <c r="E212" s="24">
        <v>1958</v>
      </c>
      <c r="F212" s="15">
        <v>1850</v>
      </c>
      <c r="G212" s="15">
        <v>108</v>
      </c>
    </row>
    <row r="213" spans="1:7" ht="10.5" customHeight="1" x14ac:dyDescent="0.2">
      <c r="A213" s="133"/>
      <c r="B213" s="17"/>
      <c r="C213" s="17"/>
      <c r="D213" s="17"/>
      <c r="E213" s="17"/>
      <c r="F213" s="17"/>
      <c r="G213" s="17"/>
    </row>
    <row r="214" spans="1:7" ht="10.5" customHeight="1" x14ac:dyDescent="0.2">
      <c r="A214" s="138" t="s">
        <v>129</v>
      </c>
      <c r="B214" s="16">
        <v>10464</v>
      </c>
      <c r="C214" s="16">
        <v>10461</v>
      </c>
      <c r="D214" s="16">
        <v>3</v>
      </c>
      <c r="E214" s="16">
        <v>4034913</v>
      </c>
      <c r="F214" s="16">
        <v>4032338</v>
      </c>
      <c r="G214" s="16">
        <v>2575</v>
      </c>
    </row>
    <row r="215" spans="1:7" ht="10.5" customHeight="1" x14ac:dyDescent="0.2">
      <c r="A215" s="132" t="s">
        <v>98</v>
      </c>
      <c r="B215" s="24">
        <v>4671</v>
      </c>
      <c r="C215" s="15">
        <v>4670</v>
      </c>
      <c r="D215" s="15">
        <v>1</v>
      </c>
      <c r="E215" s="24">
        <v>1313228</v>
      </c>
      <c r="F215" s="15">
        <v>1311307</v>
      </c>
      <c r="G215" s="15">
        <v>1921</v>
      </c>
    </row>
    <row r="216" spans="1:7" ht="10.5" customHeight="1" x14ac:dyDescent="0.2">
      <c r="A216" s="132" t="s">
        <v>99</v>
      </c>
      <c r="B216" s="24">
        <v>4584</v>
      </c>
      <c r="C216" s="15">
        <v>4582</v>
      </c>
      <c r="D216" s="15">
        <v>2</v>
      </c>
      <c r="E216" s="24">
        <v>2039546</v>
      </c>
      <c r="F216" s="15">
        <v>2038973</v>
      </c>
      <c r="G216" s="15">
        <v>573</v>
      </c>
    </row>
    <row r="217" spans="1:7" ht="10.5" customHeight="1" x14ac:dyDescent="0.2">
      <c r="A217" s="132" t="s">
        <v>100</v>
      </c>
      <c r="B217" s="24">
        <v>387</v>
      </c>
      <c r="C217" s="19">
        <v>387</v>
      </c>
      <c r="D217" s="19">
        <v>0</v>
      </c>
      <c r="E217" s="24">
        <v>191522</v>
      </c>
      <c r="F217" s="19">
        <v>191500</v>
      </c>
      <c r="G217" s="19">
        <v>22</v>
      </c>
    </row>
    <row r="218" spans="1:7" ht="10.5" customHeight="1" x14ac:dyDescent="0.2">
      <c r="A218" s="132" t="s">
        <v>101</v>
      </c>
      <c r="B218" s="24">
        <v>840</v>
      </c>
      <c r="C218" s="15">
        <v>840</v>
      </c>
      <c r="D218" s="15">
        <v>0</v>
      </c>
      <c r="E218" s="24">
        <v>540447</v>
      </c>
      <c r="F218" s="15">
        <v>540396</v>
      </c>
      <c r="G218" s="15">
        <v>51</v>
      </c>
    </row>
    <row r="219" spans="1:7" ht="10.5" customHeight="1" x14ac:dyDescent="0.2">
      <c r="A219" s="132" t="s">
        <v>102</v>
      </c>
      <c r="B219" s="24">
        <v>247</v>
      </c>
      <c r="C219" s="15">
        <v>247</v>
      </c>
      <c r="D219" s="15">
        <v>0</v>
      </c>
      <c r="E219" s="24">
        <v>111822</v>
      </c>
      <c r="F219" s="15">
        <v>111808</v>
      </c>
      <c r="G219" s="15">
        <v>14</v>
      </c>
    </row>
    <row r="220" spans="1:7" ht="10.5" customHeight="1" x14ac:dyDescent="0.2">
      <c r="A220" s="133"/>
      <c r="B220" s="17"/>
      <c r="C220" s="17"/>
      <c r="D220" s="17"/>
      <c r="E220" s="17"/>
      <c r="F220" s="17"/>
      <c r="G220" s="17"/>
    </row>
    <row r="221" spans="1:7" ht="10.5" customHeight="1" x14ac:dyDescent="0.2">
      <c r="A221" s="139" t="s">
        <v>130</v>
      </c>
      <c r="B221" s="16">
        <v>378</v>
      </c>
      <c r="C221" s="16">
        <v>343</v>
      </c>
      <c r="D221" s="16">
        <v>35</v>
      </c>
      <c r="E221" s="16">
        <v>413105</v>
      </c>
      <c r="F221" s="16">
        <v>345003</v>
      </c>
      <c r="G221" s="16">
        <v>68102</v>
      </c>
    </row>
    <row r="222" spans="1:7" ht="10.5" customHeight="1" x14ac:dyDescent="0.2">
      <c r="A222" s="132" t="s">
        <v>98</v>
      </c>
      <c r="B222" s="24">
        <v>231</v>
      </c>
      <c r="C222" s="15">
        <v>215</v>
      </c>
      <c r="D222" s="15">
        <v>16</v>
      </c>
      <c r="E222" s="24">
        <v>234537</v>
      </c>
      <c r="F222" s="15">
        <v>185684</v>
      </c>
      <c r="G222" s="15">
        <v>48853</v>
      </c>
    </row>
    <row r="223" spans="1:7" ht="10.5" customHeight="1" x14ac:dyDescent="0.2">
      <c r="A223" s="132" t="s">
        <v>99</v>
      </c>
      <c r="B223" s="24">
        <v>129</v>
      </c>
      <c r="C223" s="15">
        <v>113</v>
      </c>
      <c r="D223" s="15">
        <v>16</v>
      </c>
      <c r="E223" s="24">
        <v>159949</v>
      </c>
      <c r="F223" s="15">
        <v>142473</v>
      </c>
      <c r="G223" s="15">
        <v>17476</v>
      </c>
    </row>
    <row r="224" spans="1:7" ht="10.5" customHeight="1" x14ac:dyDescent="0.2">
      <c r="A224" s="132" t="s">
        <v>100</v>
      </c>
      <c r="B224" s="24">
        <v>8</v>
      </c>
      <c r="C224" s="19">
        <v>6</v>
      </c>
      <c r="D224" s="19">
        <v>2</v>
      </c>
      <c r="E224" s="24">
        <v>5629</v>
      </c>
      <c r="F224" s="19">
        <v>5008</v>
      </c>
      <c r="G224" s="19">
        <v>621</v>
      </c>
    </row>
    <row r="225" spans="1:7" ht="10.5" customHeight="1" x14ac:dyDescent="0.2">
      <c r="A225" s="132" t="s">
        <v>101</v>
      </c>
      <c r="B225" s="24">
        <v>11</v>
      </c>
      <c r="C225" s="15">
        <v>10</v>
      </c>
      <c r="D225" s="15">
        <v>1</v>
      </c>
      <c r="E225" s="24">
        <v>10177</v>
      </c>
      <c r="F225" s="15">
        <v>9223</v>
      </c>
      <c r="G225" s="15">
        <v>954</v>
      </c>
    </row>
    <row r="226" spans="1:7" ht="10.5" customHeight="1" x14ac:dyDescent="0.2">
      <c r="A226" s="132" t="s">
        <v>102</v>
      </c>
      <c r="B226" s="24">
        <v>5</v>
      </c>
      <c r="C226" s="15">
        <v>4</v>
      </c>
      <c r="D226" s="15">
        <v>1</v>
      </c>
      <c r="E226" s="24">
        <v>5424</v>
      </c>
      <c r="F226" s="15">
        <v>4795</v>
      </c>
      <c r="G226" s="15">
        <v>629</v>
      </c>
    </row>
    <row r="227" spans="1:7" ht="3.75" customHeight="1" thickBot="1" x14ac:dyDescent="0.3">
      <c r="A227" s="140"/>
      <c r="B227" s="141"/>
      <c r="C227" s="142"/>
      <c r="D227" s="142"/>
      <c r="E227" s="143"/>
      <c r="F227" s="142"/>
      <c r="G227" s="142"/>
    </row>
    <row r="228" spans="1:7" ht="3.75" customHeight="1" x14ac:dyDescent="0.25">
      <c r="A228" s="21"/>
      <c r="B228" s="19"/>
      <c r="C228" s="20"/>
      <c r="D228" s="20"/>
      <c r="E228" s="18"/>
      <c r="F228" s="20"/>
      <c r="G228" s="20"/>
    </row>
    <row r="229" spans="1:7" customFormat="1" ht="28.5" customHeight="1" x14ac:dyDescent="0.2">
      <c r="A229" s="221" t="s">
        <v>108</v>
      </c>
      <c r="B229" s="213"/>
      <c r="C229" s="213"/>
      <c r="D229" s="213"/>
      <c r="E229" s="213"/>
      <c r="F229" s="213"/>
      <c r="G229" s="213"/>
    </row>
    <row r="230" spans="1:7" customFormat="1" ht="13.5" x14ac:dyDescent="0.25">
      <c r="A230" s="49" t="s">
        <v>86</v>
      </c>
      <c r="B230" s="49"/>
      <c r="C230" s="49"/>
      <c r="D230" s="49"/>
      <c r="E230" s="144"/>
      <c r="F230" s="144"/>
      <c r="G230" s="144"/>
    </row>
    <row r="231" spans="1:7" customFormat="1" ht="13.5" x14ac:dyDescent="0.25">
      <c r="A231" s="49" t="s">
        <v>87</v>
      </c>
      <c r="B231" s="49"/>
      <c r="C231" s="49"/>
      <c r="D231" s="49"/>
      <c r="E231" s="145"/>
      <c r="F231" s="145"/>
      <c r="G231" s="145"/>
    </row>
    <row r="232" spans="1:7" customFormat="1" ht="25.5" customHeight="1" x14ac:dyDescent="0.25">
      <c r="A232" s="214" t="s">
        <v>118</v>
      </c>
      <c r="B232" s="213"/>
      <c r="C232" s="213"/>
      <c r="D232" s="213"/>
      <c r="E232" s="213"/>
      <c r="F232" s="213"/>
      <c r="G232" s="213"/>
    </row>
  </sheetData>
  <mergeCells count="26">
    <mergeCell ref="A1:G1"/>
    <mergeCell ref="A2:G2"/>
    <mergeCell ref="A3:G3"/>
    <mergeCell ref="A5:A6"/>
    <mergeCell ref="B5:D5"/>
    <mergeCell ref="E5:G5"/>
    <mergeCell ref="A65:G65"/>
    <mergeCell ref="A66:G66"/>
    <mergeCell ref="A67:G67"/>
    <mergeCell ref="A69:A70"/>
    <mergeCell ref="B69:D69"/>
    <mergeCell ref="E69:G69"/>
    <mergeCell ref="A129:G129"/>
    <mergeCell ref="A130:G130"/>
    <mergeCell ref="A131:G131"/>
    <mergeCell ref="A133:A134"/>
    <mergeCell ref="B133:D133"/>
    <mergeCell ref="E133:G133"/>
    <mergeCell ref="A229:G229"/>
    <mergeCell ref="A232:G232"/>
    <mergeCell ref="A193:G193"/>
    <mergeCell ref="A194:G194"/>
    <mergeCell ref="A195:G195"/>
    <mergeCell ref="A197:A198"/>
    <mergeCell ref="B197:D197"/>
    <mergeCell ref="E197:G197"/>
  </mergeCells>
  <pageMargins left="0.98425196850393704" right="0.98425196850393704" top="0.98425196850393704" bottom="0.98425196850393704" header="0.98425196850393704" footer="0.98425196850393704"/>
  <pageSetup paperSize="9" orientation="portrait" r:id="rId1"/>
  <rowBreaks count="3" manualBreakCount="3">
    <brk id="64" max="6" man="1"/>
    <brk id="128" max="6" man="1"/>
    <brk id="192" max="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48"/>
  <sheetViews>
    <sheetView showWhiteSpace="0" view="pageBreakPreview" zoomScale="145" zoomScaleNormal="100" zoomScaleSheetLayoutView="145" workbookViewId="0">
      <selection sqref="A1:G1"/>
    </sheetView>
  </sheetViews>
  <sheetFormatPr baseColWidth="10" defaultRowHeight="12.75" x14ac:dyDescent="0.25"/>
  <cols>
    <col min="1" max="1" width="21.42578125" style="10" customWidth="1"/>
    <col min="2" max="2" width="8.28515625" style="31" customWidth="1"/>
    <col min="3" max="3" width="8.42578125" style="31" customWidth="1"/>
    <col min="4" max="4" width="10.5703125" style="31" customWidth="1"/>
    <col min="5" max="7" width="10" style="4" customWidth="1"/>
    <col min="8" max="16384" width="11.42578125" style="10"/>
  </cols>
  <sheetData>
    <row r="1" spans="1:7" ht="12.75" customHeight="1" x14ac:dyDescent="0.2">
      <c r="A1" s="205" t="s">
        <v>141</v>
      </c>
      <c r="B1" s="205"/>
      <c r="C1" s="205"/>
      <c r="D1" s="205"/>
      <c r="E1" s="205"/>
      <c r="F1" s="205"/>
      <c r="G1" s="205"/>
    </row>
    <row r="2" spans="1:7" ht="45" customHeight="1" x14ac:dyDescent="0.2">
      <c r="A2" s="206" t="s">
        <v>125</v>
      </c>
      <c r="B2" s="206"/>
      <c r="C2" s="206"/>
      <c r="D2" s="206"/>
      <c r="E2" s="206"/>
      <c r="F2" s="206"/>
      <c r="G2" s="206"/>
    </row>
    <row r="3" spans="1:7" ht="12.75" customHeight="1" x14ac:dyDescent="0.25">
      <c r="A3" s="215" t="s">
        <v>17</v>
      </c>
      <c r="B3" s="215"/>
      <c r="C3" s="215"/>
      <c r="D3" s="215"/>
      <c r="E3" s="215"/>
      <c r="F3" s="215"/>
      <c r="G3" s="215"/>
    </row>
    <row r="4" spans="1:7" ht="10.5" customHeight="1" thickBot="1" x14ac:dyDescent="0.3">
      <c r="A4" s="47"/>
      <c r="B4" s="47"/>
      <c r="C4" s="47"/>
      <c r="D4" s="47"/>
      <c r="E4" s="47"/>
      <c r="F4" s="47"/>
      <c r="G4" s="47"/>
    </row>
    <row r="5" spans="1:7" ht="12.75" customHeight="1" thickBot="1" x14ac:dyDescent="0.25">
      <c r="A5" s="208" t="s">
        <v>89</v>
      </c>
      <c r="B5" s="210" t="s">
        <v>117</v>
      </c>
      <c r="C5" s="211"/>
      <c r="D5" s="212"/>
      <c r="E5" s="210" t="s">
        <v>116</v>
      </c>
      <c r="F5" s="211"/>
      <c r="G5" s="212"/>
    </row>
    <row r="6" spans="1:7" ht="12.75" customHeight="1" thickBot="1" x14ac:dyDescent="0.25">
      <c r="A6" s="209"/>
      <c r="B6" s="53" t="s">
        <v>15</v>
      </c>
      <c r="C6" s="54" t="s">
        <v>14</v>
      </c>
      <c r="D6" s="55" t="s">
        <v>13</v>
      </c>
      <c r="E6" s="56" t="s">
        <v>15</v>
      </c>
      <c r="F6" s="56" t="s">
        <v>14</v>
      </c>
      <c r="G6" s="57" t="s">
        <v>13</v>
      </c>
    </row>
    <row r="7" spans="1:7" ht="3.75" customHeight="1" x14ac:dyDescent="0.25">
      <c r="A7" s="146"/>
      <c r="B7" s="147"/>
      <c r="C7" s="85"/>
      <c r="D7" s="85"/>
      <c r="E7" s="86"/>
      <c r="F7" s="86"/>
      <c r="G7" s="87"/>
    </row>
    <row r="8" spans="1:7" ht="10.5" customHeight="1" x14ac:dyDescent="0.2">
      <c r="A8" s="78" t="s">
        <v>15</v>
      </c>
      <c r="B8" s="61">
        <v>212823</v>
      </c>
      <c r="C8" s="61">
        <v>105183</v>
      </c>
      <c r="D8" s="61">
        <v>107640</v>
      </c>
      <c r="E8" s="61">
        <v>16382789</v>
      </c>
      <c r="F8" s="61">
        <v>7950827</v>
      </c>
      <c r="G8" s="61">
        <v>8431962</v>
      </c>
    </row>
    <row r="9" spans="1:7" ht="10.5" customHeight="1" x14ac:dyDescent="0.2">
      <c r="A9" s="125" t="s">
        <v>59</v>
      </c>
      <c r="B9" s="15">
        <v>13829</v>
      </c>
      <c r="C9" s="15">
        <v>6821</v>
      </c>
      <c r="D9" s="15">
        <v>7008</v>
      </c>
      <c r="E9" s="15">
        <v>1905863</v>
      </c>
      <c r="F9" s="15">
        <v>799505</v>
      </c>
      <c r="G9" s="15">
        <v>1106358</v>
      </c>
    </row>
    <row r="10" spans="1:7" ht="10.5" customHeight="1" x14ac:dyDescent="0.2">
      <c r="A10" s="125" t="s">
        <v>58</v>
      </c>
      <c r="B10" s="15">
        <v>198994</v>
      </c>
      <c r="C10" s="15">
        <v>98362</v>
      </c>
      <c r="D10" s="15">
        <v>100632</v>
      </c>
      <c r="E10" s="15">
        <v>14476926</v>
      </c>
      <c r="F10" s="15">
        <v>7151322</v>
      </c>
      <c r="G10" s="15">
        <v>7325604</v>
      </c>
    </row>
    <row r="11" spans="1:7" s="1" customFormat="1" ht="10.5" customHeight="1" x14ac:dyDescent="0.25">
      <c r="A11" s="79"/>
      <c r="B11" s="88"/>
      <c r="C11" s="88"/>
      <c r="D11" s="88"/>
      <c r="E11" s="88"/>
      <c r="F11" s="88"/>
      <c r="G11" s="88"/>
    </row>
    <row r="12" spans="1:7" s="1" customFormat="1" ht="10.5" customHeight="1" x14ac:dyDescent="0.25">
      <c r="A12" s="113" t="s">
        <v>37</v>
      </c>
      <c r="B12" s="67">
        <v>56337</v>
      </c>
      <c r="C12" s="67">
        <v>26827</v>
      </c>
      <c r="D12" s="67">
        <v>29510</v>
      </c>
      <c r="E12" s="67">
        <v>13996109</v>
      </c>
      <c r="F12" s="67">
        <v>6726342</v>
      </c>
      <c r="G12" s="67">
        <v>7269767</v>
      </c>
    </row>
    <row r="13" spans="1:7" s="1" customFormat="1" ht="10.5" customHeight="1" x14ac:dyDescent="0.25">
      <c r="A13" s="125" t="s">
        <v>59</v>
      </c>
      <c r="B13" s="15">
        <v>5384</v>
      </c>
      <c r="C13" s="15">
        <v>2309</v>
      </c>
      <c r="D13" s="15">
        <v>3075</v>
      </c>
      <c r="E13" s="15">
        <v>1672190</v>
      </c>
      <c r="F13" s="15">
        <v>683892</v>
      </c>
      <c r="G13" s="15">
        <v>988298</v>
      </c>
    </row>
    <row r="14" spans="1:7" s="1" customFormat="1" ht="10.5" customHeight="1" x14ac:dyDescent="0.25">
      <c r="A14" s="125" t="s">
        <v>58</v>
      </c>
      <c r="B14" s="15">
        <v>50953</v>
      </c>
      <c r="C14" s="15">
        <v>24518</v>
      </c>
      <c r="D14" s="15">
        <v>26435</v>
      </c>
      <c r="E14" s="15">
        <v>12323919</v>
      </c>
      <c r="F14" s="15">
        <v>6042450</v>
      </c>
      <c r="G14" s="15">
        <v>6281469</v>
      </c>
    </row>
    <row r="15" spans="1:7" s="1" customFormat="1" ht="10.5" customHeight="1" x14ac:dyDescent="0.25">
      <c r="A15" s="79"/>
      <c r="B15" s="88"/>
      <c r="C15" s="88"/>
      <c r="D15" s="88"/>
      <c r="E15" s="88"/>
      <c r="F15" s="88"/>
      <c r="G15" s="88"/>
    </row>
    <row r="16" spans="1:7" s="1" customFormat="1" ht="10.5" customHeight="1" x14ac:dyDescent="0.25">
      <c r="A16" s="113" t="s">
        <v>36</v>
      </c>
      <c r="B16" s="67">
        <v>156486</v>
      </c>
      <c r="C16" s="67">
        <v>78356</v>
      </c>
      <c r="D16" s="67">
        <v>78130</v>
      </c>
      <c r="E16" s="67">
        <v>2386680</v>
      </c>
      <c r="F16" s="67">
        <v>1224485</v>
      </c>
      <c r="G16" s="67">
        <v>1162195</v>
      </c>
    </row>
    <row r="17" spans="1:7" s="1" customFormat="1" ht="10.5" customHeight="1" x14ac:dyDescent="0.25">
      <c r="A17" s="125" t="s">
        <v>59</v>
      </c>
      <c r="B17" s="15">
        <v>8445</v>
      </c>
      <c r="C17" s="15">
        <v>4512</v>
      </c>
      <c r="D17" s="15">
        <v>3933</v>
      </c>
      <c r="E17" s="15">
        <v>233673</v>
      </c>
      <c r="F17" s="15">
        <v>115613</v>
      </c>
      <c r="G17" s="15">
        <v>118060</v>
      </c>
    </row>
    <row r="18" spans="1:7" s="1" customFormat="1" ht="10.5" customHeight="1" x14ac:dyDescent="0.25">
      <c r="A18" s="125" t="s">
        <v>58</v>
      </c>
      <c r="B18" s="15">
        <v>148041</v>
      </c>
      <c r="C18" s="15">
        <v>73844</v>
      </c>
      <c r="D18" s="15">
        <v>74197</v>
      </c>
      <c r="E18" s="15">
        <v>2153007</v>
      </c>
      <c r="F18" s="15">
        <v>1108872</v>
      </c>
      <c r="G18" s="15">
        <v>1044135</v>
      </c>
    </row>
    <row r="19" spans="1:7" s="1" customFormat="1" ht="10.5" customHeight="1" x14ac:dyDescent="0.25">
      <c r="A19" s="80"/>
      <c r="B19" s="93"/>
      <c r="C19" s="93"/>
      <c r="D19" s="93"/>
      <c r="E19" s="92"/>
      <c r="F19" s="92"/>
      <c r="G19" s="88"/>
    </row>
    <row r="20" spans="1:7" s="1" customFormat="1" ht="10.5" customHeight="1" x14ac:dyDescent="0.25">
      <c r="A20" s="78" t="s">
        <v>35</v>
      </c>
      <c r="B20" s="61">
        <v>34958</v>
      </c>
      <c r="C20" s="61">
        <v>17070</v>
      </c>
      <c r="D20" s="61">
        <v>17888</v>
      </c>
      <c r="E20" s="61">
        <v>228548</v>
      </c>
      <c r="F20" s="61">
        <v>115326</v>
      </c>
      <c r="G20" s="61">
        <v>113222</v>
      </c>
    </row>
    <row r="21" spans="1:7" s="1" customFormat="1" ht="10.5" customHeight="1" x14ac:dyDescent="0.25">
      <c r="A21" s="125" t="s">
        <v>59</v>
      </c>
      <c r="B21" s="15">
        <v>1240</v>
      </c>
      <c r="C21" s="15">
        <v>701</v>
      </c>
      <c r="D21" s="15">
        <v>539</v>
      </c>
      <c r="E21" s="15">
        <v>27785</v>
      </c>
      <c r="F21" s="15">
        <v>13056</v>
      </c>
      <c r="G21" s="15">
        <v>14729</v>
      </c>
    </row>
    <row r="22" spans="1:7" s="1" customFormat="1" ht="10.5" customHeight="1" x14ac:dyDescent="0.25">
      <c r="A22" s="125" t="s">
        <v>58</v>
      </c>
      <c r="B22" s="15">
        <v>33718</v>
      </c>
      <c r="C22" s="15">
        <v>16369</v>
      </c>
      <c r="D22" s="15">
        <v>17349</v>
      </c>
      <c r="E22" s="15">
        <v>200763</v>
      </c>
      <c r="F22" s="15">
        <v>102270</v>
      </c>
      <c r="G22" s="15">
        <v>98493</v>
      </c>
    </row>
    <row r="23" spans="1:7" s="1" customFormat="1" ht="10.5" customHeight="1" x14ac:dyDescent="0.25">
      <c r="A23" s="82"/>
      <c r="B23" s="88"/>
      <c r="C23" s="88"/>
      <c r="D23" s="88"/>
      <c r="E23" s="88"/>
      <c r="F23" s="88"/>
      <c r="G23" s="88"/>
    </row>
    <row r="24" spans="1:7" s="1" customFormat="1" ht="10.5" customHeight="1" x14ac:dyDescent="0.25">
      <c r="A24" s="78" t="s">
        <v>34</v>
      </c>
      <c r="B24" s="61">
        <v>211</v>
      </c>
      <c r="C24" s="61">
        <v>114</v>
      </c>
      <c r="D24" s="61">
        <v>97</v>
      </c>
      <c r="E24" s="61">
        <v>533048</v>
      </c>
      <c r="F24" s="61">
        <v>261806</v>
      </c>
      <c r="G24" s="61">
        <v>271242</v>
      </c>
    </row>
    <row r="25" spans="1:7" s="1" customFormat="1" ht="10.5" customHeight="1" x14ac:dyDescent="0.25">
      <c r="A25" s="125" t="s">
        <v>59</v>
      </c>
      <c r="B25" s="15">
        <v>25</v>
      </c>
      <c r="C25" s="15">
        <v>10</v>
      </c>
      <c r="D25" s="15">
        <v>15</v>
      </c>
      <c r="E25" s="15">
        <v>70927</v>
      </c>
      <c r="F25" s="15">
        <v>29851</v>
      </c>
      <c r="G25" s="15">
        <v>41076</v>
      </c>
    </row>
    <row r="26" spans="1:7" s="1" customFormat="1" ht="10.5" customHeight="1" x14ac:dyDescent="0.25">
      <c r="A26" s="125" t="s">
        <v>58</v>
      </c>
      <c r="B26" s="15">
        <v>186</v>
      </c>
      <c r="C26" s="15">
        <v>104</v>
      </c>
      <c r="D26" s="15">
        <v>82</v>
      </c>
      <c r="E26" s="15">
        <v>462121</v>
      </c>
      <c r="F26" s="15">
        <v>231955</v>
      </c>
      <c r="G26" s="15">
        <v>230166</v>
      </c>
    </row>
    <row r="27" spans="1:7" s="1" customFormat="1" ht="10.5" customHeight="1" x14ac:dyDescent="0.25">
      <c r="A27" s="82"/>
      <c r="B27" s="88"/>
      <c r="C27" s="88"/>
      <c r="D27" s="88"/>
      <c r="E27" s="88"/>
      <c r="F27" s="88"/>
      <c r="G27" s="88"/>
    </row>
    <row r="28" spans="1:7" s="1" customFormat="1" ht="10.5" customHeight="1" x14ac:dyDescent="0.25">
      <c r="A28" s="78" t="s">
        <v>33</v>
      </c>
      <c r="B28" s="61">
        <v>144</v>
      </c>
      <c r="C28" s="61">
        <v>72</v>
      </c>
      <c r="D28" s="61">
        <v>72</v>
      </c>
      <c r="E28" s="61">
        <v>40128</v>
      </c>
      <c r="F28" s="61">
        <v>21124</v>
      </c>
      <c r="G28" s="61">
        <v>19004</v>
      </c>
    </row>
    <row r="29" spans="1:7" s="1" customFormat="1" ht="10.5" customHeight="1" x14ac:dyDescent="0.25">
      <c r="A29" s="125" t="s">
        <v>59</v>
      </c>
      <c r="B29" s="15">
        <v>9</v>
      </c>
      <c r="C29" s="15">
        <v>3</v>
      </c>
      <c r="D29" s="15">
        <v>6</v>
      </c>
      <c r="E29" s="15">
        <v>3839</v>
      </c>
      <c r="F29" s="15">
        <v>1785</v>
      </c>
      <c r="G29" s="15">
        <v>2054</v>
      </c>
    </row>
    <row r="30" spans="1:7" s="1" customFormat="1" ht="10.5" customHeight="1" x14ac:dyDescent="0.25">
      <c r="A30" s="125" t="s">
        <v>58</v>
      </c>
      <c r="B30" s="15">
        <v>135</v>
      </c>
      <c r="C30" s="15">
        <v>69</v>
      </c>
      <c r="D30" s="15">
        <v>66</v>
      </c>
      <c r="E30" s="15">
        <v>36289</v>
      </c>
      <c r="F30" s="15">
        <v>19339</v>
      </c>
      <c r="G30" s="15">
        <v>16950</v>
      </c>
    </row>
    <row r="31" spans="1:7" s="1" customFormat="1" ht="10.5" customHeight="1" x14ac:dyDescent="0.25">
      <c r="A31" s="79"/>
      <c r="B31" s="88"/>
      <c r="C31" s="88"/>
      <c r="D31" s="88"/>
      <c r="E31" s="88"/>
      <c r="F31" s="88"/>
      <c r="G31" s="88"/>
    </row>
    <row r="32" spans="1:7" s="1" customFormat="1" ht="10.5" customHeight="1" x14ac:dyDescent="0.25">
      <c r="A32" s="78" t="s">
        <v>32</v>
      </c>
      <c r="B32" s="61">
        <v>627</v>
      </c>
      <c r="C32" s="61">
        <v>327</v>
      </c>
      <c r="D32" s="61">
        <v>300</v>
      </c>
      <c r="E32" s="61">
        <v>705710</v>
      </c>
      <c r="F32" s="61">
        <v>341302</v>
      </c>
      <c r="G32" s="61">
        <v>364408</v>
      </c>
    </row>
    <row r="33" spans="1:7" s="1" customFormat="1" ht="10.5" customHeight="1" x14ac:dyDescent="0.25">
      <c r="A33" s="125" t="s">
        <v>59</v>
      </c>
      <c r="B33" s="15">
        <v>46</v>
      </c>
      <c r="C33" s="15">
        <v>22</v>
      </c>
      <c r="D33" s="15">
        <v>24</v>
      </c>
      <c r="E33" s="15">
        <v>82918</v>
      </c>
      <c r="F33" s="15">
        <v>34438</v>
      </c>
      <c r="G33" s="15">
        <v>48480</v>
      </c>
    </row>
    <row r="34" spans="1:7" s="1" customFormat="1" ht="10.5" customHeight="1" x14ac:dyDescent="0.25">
      <c r="A34" s="125" t="s">
        <v>58</v>
      </c>
      <c r="B34" s="15">
        <v>581</v>
      </c>
      <c r="C34" s="15">
        <v>305</v>
      </c>
      <c r="D34" s="15">
        <v>276</v>
      </c>
      <c r="E34" s="15">
        <v>622792</v>
      </c>
      <c r="F34" s="15">
        <v>306864</v>
      </c>
      <c r="G34" s="15">
        <v>315928</v>
      </c>
    </row>
    <row r="35" spans="1:7" s="1" customFormat="1" ht="10.5" customHeight="1" x14ac:dyDescent="0.25">
      <c r="A35" s="82"/>
      <c r="B35" s="88"/>
      <c r="C35" s="88"/>
      <c r="D35" s="88"/>
      <c r="E35" s="88"/>
      <c r="F35" s="88"/>
      <c r="G35" s="88"/>
    </row>
    <row r="36" spans="1:7" s="1" customFormat="1" ht="10.5" customHeight="1" x14ac:dyDescent="0.25">
      <c r="A36" s="78" t="s">
        <v>31</v>
      </c>
      <c r="B36" s="61">
        <v>314</v>
      </c>
      <c r="C36" s="61">
        <v>171</v>
      </c>
      <c r="D36" s="61">
        <v>143</v>
      </c>
      <c r="E36" s="61">
        <v>84703</v>
      </c>
      <c r="F36" s="61">
        <v>44381</v>
      </c>
      <c r="G36" s="61">
        <v>40322</v>
      </c>
    </row>
    <row r="37" spans="1:7" s="1" customFormat="1" ht="10.5" customHeight="1" x14ac:dyDescent="0.25">
      <c r="A37" s="125" t="s">
        <v>59</v>
      </c>
      <c r="B37" s="15">
        <v>16</v>
      </c>
      <c r="C37" s="15">
        <v>6</v>
      </c>
      <c r="D37" s="15">
        <v>10</v>
      </c>
      <c r="E37" s="15">
        <v>8452</v>
      </c>
      <c r="F37" s="15">
        <v>3934</v>
      </c>
      <c r="G37" s="15">
        <v>4518</v>
      </c>
    </row>
    <row r="38" spans="1:7" s="1" customFormat="1" ht="10.5" customHeight="1" x14ac:dyDescent="0.25">
      <c r="A38" s="125" t="s">
        <v>58</v>
      </c>
      <c r="B38" s="15">
        <v>298</v>
      </c>
      <c r="C38" s="15">
        <v>165</v>
      </c>
      <c r="D38" s="15">
        <v>133</v>
      </c>
      <c r="E38" s="15">
        <v>76251</v>
      </c>
      <c r="F38" s="15">
        <v>40447</v>
      </c>
      <c r="G38" s="15">
        <v>35804</v>
      </c>
    </row>
    <row r="39" spans="1:7" s="1" customFormat="1" ht="10.5" customHeight="1" x14ac:dyDescent="0.25">
      <c r="A39" s="126"/>
      <c r="B39" s="88"/>
      <c r="C39" s="88"/>
      <c r="D39" s="88"/>
      <c r="E39" s="88"/>
      <c r="F39" s="88"/>
      <c r="G39" s="88"/>
    </row>
    <row r="40" spans="1:7" s="1" customFormat="1" ht="10.5" customHeight="1" x14ac:dyDescent="0.25">
      <c r="A40" s="78" t="s">
        <v>30</v>
      </c>
      <c r="B40" s="61">
        <v>1963</v>
      </c>
      <c r="C40" s="61">
        <v>955</v>
      </c>
      <c r="D40" s="61">
        <v>1008</v>
      </c>
      <c r="E40" s="61">
        <v>898798</v>
      </c>
      <c r="F40" s="61">
        <v>435186</v>
      </c>
      <c r="G40" s="61">
        <v>463612</v>
      </c>
    </row>
    <row r="41" spans="1:7" s="1" customFormat="1" ht="10.5" customHeight="1" x14ac:dyDescent="0.25">
      <c r="A41" s="125" t="s">
        <v>59</v>
      </c>
      <c r="B41" s="15">
        <v>183</v>
      </c>
      <c r="C41" s="15">
        <v>91</v>
      </c>
      <c r="D41" s="15">
        <v>92</v>
      </c>
      <c r="E41" s="15">
        <v>92924</v>
      </c>
      <c r="F41" s="15">
        <v>42410</v>
      </c>
      <c r="G41" s="15">
        <v>50514</v>
      </c>
    </row>
    <row r="42" spans="1:7" s="1" customFormat="1" ht="10.5" customHeight="1" x14ac:dyDescent="0.25">
      <c r="A42" s="125" t="s">
        <v>58</v>
      </c>
      <c r="B42" s="15">
        <v>1780</v>
      </c>
      <c r="C42" s="15">
        <v>864</v>
      </c>
      <c r="D42" s="15">
        <v>916</v>
      </c>
      <c r="E42" s="15">
        <v>805874</v>
      </c>
      <c r="F42" s="15">
        <v>392776</v>
      </c>
      <c r="G42" s="15">
        <v>413098</v>
      </c>
    </row>
    <row r="43" spans="1:7" s="1" customFormat="1" ht="10.5" customHeight="1" x14ac:dyDescent="0.25">
      <c r="A43" s="82"/>
      <c r="B43" s="93"/>
      <c r="C43" s="93"/>
      <c r="D43" s="93"/>
      <c r="E43" s="92"/>
      <c r="F43" s="92"/>
      <c r="G43" s="88"/>
    </row>
    <row r="44" spans="1:7" s="1" customFormat="1" ht="10.5" customHeight="1" x14ac:dyDescent="0.25">
      <c r="A44" s="81" t="s">
        <v>29</v>
      </c>
      <c r="B44" s="61">
        <v>1501</v>
      </c>
      <c r="C44" s="61">
        <v>684</v>
      </c>
      <c r="D44" s="61">
        <v>817</v>
      </c>
      <c r="E44" s="61">
        <v>672667</v>
      </c>
      <c r="F44" s="61">
        <v>323007</v>
      </c>
      <c r="G44" s="61">
        <v>349660</v>
      </c>
    </row>
    <row r="45" spans="1:7" s="1" customFormat="1" ht="10.5" customHeight="1" x14ac:dyDescent="0.25">
      <c r="A45" s="125" t="s">
        <v>59</v>
      </c>
      <c r="B45" s="15">
        <v>171</v>
      </c>
      <c r="C45" s="15">
        <v>65</v>
      </c>
      <c r="D45" s="15">
        <v>106</v>
      </c>
      <c r="E45" s="15">
        <v>82845</v>
      </c>
      <c r="F45" s="15">
        <v>33089</v>
      </c>
      <c r="G45" s="15">
        <v>49756</v>
      </c>
    </row>
    <row r="46" spans="1:7" s="1" customFormat="1" ht="10.5" customHeight="1" x14ac:dyDescent="0.25">
      <c r="A46" s="125" t="s">
        <v>58</v>
      </c>
      <c r="B46" s="15">
        <v>1330</v>
      </c>
      <c r="C46" s="15">
        <v>619</v>
      </c>
      <c r="D46" s="15">
        <v>711</v>
      </c>
      <c r="E46" s="15">
        <v>589822</v>
      </c>
      <c r="F46" s="15">
        <v>289918</v>
      </c>
      <c r="G46" s="15">
        <v>299904</v>
      </c>
    </row>
    <row r="47" spans="1:7" s="1" customFormat="1" ht="10.5" customHeight="1" x14ac:dyDescent="0.25">
      <c r="A47" s="82"/>
      <c r="B47" s="88"/>
      <c r="C47" s="88"/>
      <c r="D47" s="88"/>
      <c r="E47" s="88"/>
      <c r="F47" s="88"/>
      <c r="G47" s="88"/>
    </row>
    <row r="48" spans="1:7" s="1" customFormat="1" ht="10.5" customHeight="1" x14ac:dyDescent="0.25">
      <c r="A48" s="78" t="s">
        <v>28</v>
      </c>
      <c r="B48" s="61">
        <v>6969</v>
      </c>
      <c r="C48" s="61">
        <v>3473</v>
      </c>
      <c r="D48" s="61">
        <v>3496</v>
      </c>
      <c r="E48" s="61">
        <v>225050</v>
      </c>
      <c r="F48" s="61">
        <v>113151</v>
      </c>
      <c r="G48" s="61">
        <v>111899</v>
      </c>
    </row>
    <row r="49" spans="1:7" s="1" customFormat="1" ht="10.5" customHeight="1" x14ac:dyDescent="0.25">
      <c r="A49" s="125" t="s">
        <v>59</v>
      </c>
      <c r="B49" s="15">
        <v>355</v>
      </c>
      <c r="C49" s="15">
        <v>171</v>
      </c>
      <c r="D49" s="15">
        <v>184</v>
      </c>
      <c r="E49" s="15">
        <v>23522</v>
      </c>
      <c r="F49" s="15">
        <v>10458</v>
      </c>
      <c r="G49" s="15">
        <v>13064</v>
      </c>
    </row>
    <row r="50" spans="1:7" s="1" customFormat="1" ht="10.5" customHeight="1" x14ac:dyDescent="0.25">
      <c r="A50" s="125" t="s">
        <v>58</v>
      </c>
      <c r="B50" s="15">
        <v>6614</v>
      </c>
      <c r="C50" s="15">
        <v>3302</v>
      </c>
      <c r="D50" s="15">
        <v>3312</v>
      </c>
      <c r="E50" s="15">
        <v>201528</v>
      </c>
      <c r="F50" s="15">
        <v>102693</v>
      </c>
      <c r="G50" s="15">
        <v>98835</v>
      </c>
    </row>
    <row r="51" spans="1:7" s="1" customFormat="1" ht="10.5" customHeight="1" x14ac:dyDescent="0.25">
      <c r="A51" s="82"/>
      <c r="B51" s="88"/>
      <c r="C51" s="88"/>
      <c r="D51" s="88"/>
      <c r="E51" s="88"/>
      <c r="F51" s="88"/>
      <c r="G51" s="88"/>
    </row>
    <row r="52" spans="1:7" s="1" customFormat="1" ht="10.5" customHeight="1" x14ac:dyDescent="0.25">
      <c r="A52" s="78" t="s">
        <v>27</v>
      </c>
      <c r="B52" s="61">
        <v>48</v>
      </c>
      <c r="C52" s="61">
        <v>24</v>
      </c>
      <c r="D52" s="61">
        <v>24</v>
      </c>
      <c r="E52" s="61">
        <v>50752</v>
      </c>
      <c r="F52" s="61">
        <v>25671</v>
      </c>
      <c r="G52" s="61">
        <v>25081</v>
      </c>
    </row>
    <row r="53" spans="1:7" s="1" customFormat="1" ht="10.5" customHeight="1" x14ac:dyDescent="0.25">
      <c r="A53" s="125" t="s">
        <v>59</v>
      </c>
      <c r="B53" s="15">
        <v>3</v>
      </c>
      <c r="C53" s="15">
        <v>2</v>
      </c>
      <c r="D53" s="15">
        <v>1</v>
      </c>
      <c r="E53" s="15">
        <v>5488</v>
      </c>
      <c r="F53" s="15">
        <v>2553</v>
      </c>
      <c r="G53" s="15">
        <v>2935</v>
      </c>
    </row>
    <row r="54" spans="1:7" s="1" customFormat="1" ht="10.5" customHeight="1" x14ac:dyDescent="0.25">
      <c r="A54" s="125" t="s">
        <v>58</v>
      </c>
      <c r="B54" s="15">
        <v>45</v>
      </c>
      <c r="C54" s="15">
        <v>22</v>
      </c>
      <c r="D54" s="15">
        <v>23</v>
      </c>
      <c r="E54" s="15">
        <v>45264</v>
      </c>
      <c r="F54" s="15">
        <v>23118</v>
      </c>
      <c r="G54" s="15">
        <v>22146</v>
      </c>
    </row>
    <row r="55" spans="1:7" s="1" customFormat="1" ht="10.5" customHeight="1" x14ac:dyDescent="0.25">
      <c r="A55" s="82"/>
      <c r="B55" s="88"/>
      <c r="C55" s="88"/>
      <c r="D55" s="88"/>
      <c r="E55" s="88"/>
      <c r="F55" s="88"/>
      <c r="G55" s="88"/>
    </row>
    <row r="56" spans="1:7" s="1" customFormat="1" ht="10.5" customHeight="1" x14ac:dyDescent="0.25">
      <c r="A56" s="78" t="s">
        <v>26</v>
      </c>
      <c r="B56" s="61">
        <v>2211</v>
      </c>
      <c r="C56" s="61">
        <v>1090</v>
      </c>
      <c r="D56" s="61">
        <v>1121</v>
      </c>
      <c r="E56" s="61">
        <v>298719</v>
      </c>
      <c r="F56" s="61">
        <v>148483</v>
      </c>
      <c r="G56" s="61">
        <v>150236</v>
      </c>
    </row>
    <row r="57" spans="1:7" s="1" customFormat="1" ht="10.5" customHeight="1" x14ac:dyDescent="0.25">
      <c r="A57" s="125" t="s">
        <v>59</v>
      </c>
      <c r="B57" s="15">
        <v>177</v>
      </c>
      <c r="C57" s="15">
        <v>78</v>
      </c>
      <c r="D57" s="15">
        <v>99</v>
      </c>
      <c r="E57" s="15">
        <v>32261</v>
      </c>
      <c r="F57" s="15">
        <v>14622</v>
      </c>
      <c r="G57" s="15">
        <v>17639</v>
      </c>
    </row>
    <row r="58" spans="1:7" s="1" customFormat="1" ht="10.5" customHeight="1" x14ac:dyDescent="0.25">
      <c r="A58" s="125" t="s">
        <v>58</v>
      </c>
      <c r="B58" s="15">
        <v>2034</v>
      </c>
      <c r="C58" s="15">
        <v>1012</v>
      </c>
      <c r="D58" s="15">
        <v>1022</v>
      </c>
      <c r="E58" s="15">
        <v>266458</v>
      </c>
      <c r="F58" s="15">
        <v>133861</v>
      </c>
      <c r="G58" s="15">
        <v>132597</v>
      </c>
    </row>
    <row r="59" spans="1:7" s="1" customFormat="1" ht="10.5" customHeight="1" x14ac:dyDescent="0.25">
      <c r="A59" s="77"/>
      <c r="B59" s="93"/>
      <c r="C59" s="93"/>
      <c r="D59" s="93"/>
      <c r="E59" s="92"/>
      <c r="F59" s="92"/>
      <c r="G59" s="88"/>
    </row>
    <row r="60" spans="1:7" s="1" customFormat="1" ht="10.5" customHeight="1" x14ac:dyDescent="0.25">
      <c r="A60" s="78" t="s">
        <v>25</v>
      </c>
      <c r="B60" s="61">
        <v>833</v>
      </c>
      <c r="C60" s="61">
        <v>447</v>
      </c>
      <c r="D60" s="61">
        <v>386</v>
      </c>
      <c r="E60" s="61">
        <v>530691</v>
      </c>
      <c r="F60" s="61">
        <v>257973</v>
      </c>
      <c r="G60" s="61">
        <v>272718</v>
      </c>
    </row>
    <row r="61" spans="1:7" s="1" customFormat="1" ht="10.5" customHeight="1" x14ac:dyDescent="0.25">
      <c r="A61" s="125" t="s">
        <v>59</v>
      </c>
      <c r="B61" s="15">
        <v>57</v>
      </c>
      <c r="C61" s="15">
        <v>29</v>
      </c>
      <c r="D61" s="15">
        <v>28</v>
      </c>
      <c r="E61" s="15">
        <v>64821</v>
      </c>
      <c r="F61" s="15">
        <v>25998</v>
      </c>
      <c r="G61" s="15">
        <v>38823</v>
      </c>
    </row>
    <row r="62" spans="1:7" s="1" customFormat="1" ht="10.5" customHeight="1" x14ac:dyDescent="0.25">
      <c r="A62" s="125" t="s">
        <v>58</v>
      </c>
      <c r="B62" s="15">
        <v>776</v>
      </c>
      <c r="C62" s="15">
        <v>418</v>
      </c>
      <c r="D62" s="15">
        <v>358</v>
      </c>
      <c r="E62" s="15">
        <v>465870</v>
      </c>
      <c r="F62" s="15">
        <v>231975</v>
      </c>
      <c r="G62" s="15">
        <v>233895</v>
      </c>
    </row>
    <row r="63" spans="1:7" s="1" customFormat="1" ht="3.75" customHeight="1" thickBot="1" x14ac:dyDescent="0.3">
      <c r="A63" s="83"/>
      <c r="B63" s="74"/>
      <c r="C63" s="74"/>
      <c r="D63" s="75"/>
      <c r="E63" s="76"/>
      <c r="F63" s="76"/>
      <c r="G63" s="76"/>
    </row>
    <row r="64" spans="1:7" s="1" customFormat="1" ht="10.5" customHeight="1" x14ac:dyDescent="0.25">
      <c r="A64" s="48"/>
      <c r="B64" s="7"/>
      <c r="C64" s="7"/>
      <c r="D64" s="6"/>
      <c r="E64" s="28"/>
      <c r="F64" s="28"/>
      <c r="G64" s="7" t="s">
        <v>83</v>
      </c>
    </row>
    <row r="65" spans="1:7" ht="12.75" customHeight="1" x14ac:dyDescent="0.2">
      <c r="A65" s="205" t="str">
        <f>A$1</f>
        <v>CUADRO Nº 2.6</v>
      </c>
      <c r="B65" s="205"/>
      <c r="C65" s="205"/>
      <c r="D65" s="205"/>
      <c r="E65" s="205"/>
      <c r="F65" s="205"/>
      <c r="G65" s="205"/>
    </row>
    <row r="66" spans="1:7" ht="20.25" customHeight="1" x14ac:dyDescent="0.2">
      <c r="A66" s="206" t="str">
        <f>A$2</f>
        <v>PERÚ: POBLACIÓN CENSADA INDÍGENA U ORIGINARIA DE LA AMAZONÍA, BLANCA(O), MESTIZA(O) Y OTRA(O) DE 12 Y MÁS AÑOS DE EDAD, POR SEXO, SEGÚN CONDICIÓN DE DISCAPACIDAD, ÁREA DE RESIDENCIA Y DEPARTAMENTO, 2017</v>
      </c>
      <c r="B66" s="206"/>
      <c r="C66" s="206"/>
      <c r="D66" s="206"/>
      <c r="E66" s="206"/>
      <c r="F66" s="206"/>
      <c r="G66" s="206"/>
    </row>
    <row r="67" spans="1:7" ht="12.75" customHeight="1" x14ac:dyDescent="0.25">
      <c r="A67" s="215" t="str">
        <f>A$3</f>
        <v>(Cifras absolutas)</v>
      </c>
      <c r="B67" s="215"/>
      <c r="C67" s="215"/>
      <c r="D67" s="215"/>
      <c r="E67" s="215"/>
      <c r="F67" s="215"/>
      <c r="G67" s="215"/>
    </row>
    <row r="68" spans="1:7" ht="10.5" customHeight="1" thickBot="1" x14ac:dyDescent="0.3">
      <c r="A68" s="47"/>
      <c r="B68" s="47"/>
      <c r="C68" s="47"/>
      <c r="D68" s="47"/>
      <c r="E68" s="47"/>
      <c r="F68" s="47"/>
      <c r="G68" s="6"/>
    </row>
    <row r="69" spans="1:7" ht="12.75" customHeight="1" thickBot="1" x14ac:dyDescent="0.25">
      <c r="A69" s="225" t="str">
        <f>A$5</f>
        <v>Condición de discapacidad / Área de residencia y departamento</v>
      </c>
      <c r="B69" s="211" t="str">
        <f>B$5</f>
        <v>Indígena u originaria de la Amazonía</v>
      </c>
      <c r="C69" s="211"/>
      <c r="D69" s="211"/>
      <c r="E69" s="210" t="s">
        <v>116</v>
      </c>
      <c r="F69" s="211"/>
      <c r="G69" s="212"/>
    </row>
    <row r="70" spans="1:7" ht="12.75" customHeight="1" thickBot="1" x14ac:dyDescent="0.25">
      <c r="A70" s="225"/>
      <c r="B70" s="54" t="str">
        <f t="shared" ref="B70:G70" si="0">B$6</f>
        <v>Total</v>
      </c>
      <c r="C70" s="54" t="str">
        <f t="shared" si="0"/>
        <v>Hombre</v>
      </c>
      <c r="D70" s="148" t="str">
        <f t="shared" si="0"/>
        <v>Mujer</v>
      </c>
      <c r="E70" s="53" t="str">
        <f t="shared" si="0"/>
        <v>Total</v>
      </c>
      <c r="F70" s="54" t="str">
        <f t="shared" si="0"/>
        <v>Hombre</v>
      </c>
      <c r="G70" s="55" t="str">
        <f t="shared" si="0"/>
        <v>Mujer</v>
      </c>
    </row>
    <row r="71" spans="1:7" ht="3.75" customHeight="1" x14ac:dyDescent="0.25">
      <c r="A71" s="146"/>
      <c r="B71" s="147"/>
      <c r="C71" s="85"/>
      <c r="D71" s="85"/>
      <c r="E71" s="86"/>
      <c r="F71" s="86"/>
      <c r="G71" s="87"/>
    </row>
    <row r="72" spans="1:7" s="1" customFormat="1" ht="10.5" customHeight="1" x14ac:dyDescent="0.25">
      <c r="A72" s="78" t="s">
        <v>24</v>
      </c>
      <c r="B72" s="61">
        <v>35920</v>
      </c>
      <c r="C72" s="61">
        <v>17891</v>
      </c>
      <c r="D72" s="61">
        <v>18029</v>
      </c>
      <c r="E72" s="61">
        <v>582274</v>
      </c>
      <c r="F72" s="61">
        <v>282092</v>
      </c>
      <c r="G72" s="61">
        <v>300182</v>
      </c>
    </row>
    <row r="73" spans="1:7" s="1" customFormat="1" ht="10.5" customHeight="1" x14ac:dyDescent="0.25">
      <c r="A73" s="125" t="s">
        <v>59</v>
      </c>
      <c r="B73" s="15">
        <v>2051</v>
      </c>
      <c r="C73" s="15">
        <v>1067</v>
      </c>
      <c r="D73" s="15">
        <v>984</v>
      </c>
      <c r="E73" s="15">
        <v>69689</v>
      </c>
      <c r="F73" s="15">
        <v>30328</v>
      </c>
      <c r="G73" s="15">
        <v>39361</v>
      </c>
    </row>
    <row r="74" spans="1:7" s="1" customFormat="1" ht="10.5" customHeight="1" x14ac:dyDescent="0.25">
      <c r="A74" s="125" t="s">
        <v>58</v>
      </c>
      <c r="B74" s="15">
        <v>33869</v>
      </c>
      <c r="C74" s="15">
        <v>16824</v>
      </c>
      <c r="D74" s="15">
        <v>17045</v>
      </c>
      <c r="E74" s="15">
        <v>512585</v>
      </c>
      <c r="F74" s="15">
        <v>251764</v>
      </c>
      <c r="G74" s="15">
        <v>260821</v>
      </c>
    </row>
    <row r="75" spans="1:7" s="1" customFormat="1" ht="10.5" customHeight="1" x14ac:dyDescent="0.25">
      <c r="A75" s="80"/>
      <c r="B75" s="88"/>
      <c r="C75" s="88"/>
      <c r="D75" s="88"/>
      <c r="E75" s="88"/>
      <c r="F75" s="88"/>
      <c r="G75" s="88"/>
    </row>
    <row r="76" spans="1:7" s="1" customFormat="1" ht="10.5" customHeight="1" x14ac:dyDescent="0.25">
      <c r="A76" s="78" t="s">
        <v>23</v>
      </c>
      <c r="B76" s="61">
        <v>806</v>
      </c>
      <c r="C76" s="61">
        <v>423</v>
      </c>
      <c r="D76" s="61">
        <v>383</v>
      </c>
      <c r="E76" s="61">
        <v>1233787</v>
      </c>
      <c r="F76" s="61">
        <v>588946</v>
      </c>
      <c r="G76" s="61">
        <v>644841</v>
      </c>
    </row>
    <row r="77" spans="1:7" s="1" customFormat="1" ht="10.5" customHeight="1" x14ac:dyDescent="0.25">
      <c r="A77" s="125" t="s">
        <v>59</v>
      </c>
      <c r="B77" s="15">
        <v>61</v>
      </c>
      <c r="C77" s="15">
        <v>32</v>
      </c>
      <c r="D77" s="15">
        <v>29</v>
      </c>
      <c r="E77" s="15">
        <v>133170</v>
      </c>
      <c r="F77" s="15">
        <v>54885</v>
      </c>
      <c r="G77" s="15">
        <v>78285</v>
      </c>
    </row>
    <row r="78" spans="1:7" s="1" customFormat="1" ht="10.5" customHeight="1" x14ac:dyDescent="0.25">
      <c r="A78" s="125" t="s">
        <v>58</v>
      </c>
      <c r="B78" s="15">
        <v>745</v>
      </c>
      <c r="C78" s="15">
        <v>391</v>
      </c>
      <c r="D78" s="15">
        <v>354</v>
      </c>
      <c r="E78" s="15">
        <v>1100617</v>
      </c>
      <c r="F78" s="15">
        <v>534061</v>
      </c>
      <c r="G78" s="15">
        <v>566556</v>
      </c>
    </row>
    <row r="79" spans="1:7" s="1" customFormat="1" ht="10.5" customHeight="1" x14ac:dyDescent="0.25">
      <c r="A79" s="77"/>
      <c r="B79" s="88"/>
      <c r="C79" s="88"/>
      <c r="D79" s="88"/>
      <c r="E79" s="88"/>
      <c r="F79" s="88"/>
      <c r="G79" s="88"/>
    </row>
    <row r="80" spans="1:7" s="1" customFormat="1" ht="10.5" customHeight="1" x14ac:dyDescent="0.25">
      <c r="A80" s="78" t="s">
        <v>22</v>
      </c>
      <c r="B80" s="61">
        <v>700</v>
      </c>
      <c r="C80" s="61">
        <v>313</v>
      </c>
      <c r="D80" s="61">
        <v>387</v>
      </c>
      <c r="E80" s="61">
        <v>815454</v>
      </c>
      <c r="F80" s="61">
        <v>384763</v>
      </c>
      <c r="G80" s="61">
        <v>430691</v>
      </c>
    </row>
    <row r="81" spans="1:7" s="1" customFormat="1" ht="10.5" customHeight="1" x14ac:dyDescent="0.25">
      <c r="A81" s="125" t="s">
        <v>59</v>
      </c>
      <c r="B81" s="15">
        <v>49</v>
      </c>
      <c r="C81" s="15">
        <v>22</v>
      </c>
      <c r="D81" s="15">
        <v>27</v>
      </c>
      <c r="E81" s="15">
        <v>97654</v>
      </c>
      <c r="F81" s="15">
        <v>39145</v>
      </c>
      <c r="G81" s="15">
        <v>58509</v>
      </c>
    </row>
    <row r="82" spans="1:7" s="1" customFormat="1" ht="10.5" customHeight="1" x14ac:dyDescent="0.25">
      <c r="A82" s="125" t="s">
        <v>58</v>
      </c>
      <c r="B82" s="15">
        <v>651</v>
      </c>
      <c r="C82" s="15">
        <v>291</v>
      </c>
      <c r="D82" s="15">
        <v>360</v>
      </c>
      <c r="E82" s="15">
        <v>717800</v>
      </c>
      <c r="F82" s="15">
        <v>345618</v>
      </c>
      <c r="G82" s="15">
        <v>372182</v>
      </c>
    </row>
    <row r="83" spans="1:7" s="1" customFormat="1" ht="10.5" customHeight="1" x14ac:dyDescent="0.25">
      <c r="A83" s="82"/>
      <c r="B83" s="88"/>
      <c r="C83" s="88"/>
      <c r="D83" s="88"/>
      <c r="E83" s="88"/>
      <c r="F83" s="88"/>
      <c r="G83" s="88"/>
    </row>
    <row r="84" spans="1:7" s="1" customFormat="1" ht="10.5" customHeight="1" x14ac:dyDescent="0.25">
      <c r="A84" s="78" t="s">
        <v>21</v>
      </c>
      <c r="B84" s="61">
        <v>15505</v>
      </c>
      <c r="C84" s="61">
        <v>7333</v>
      </c>
      <c r="D84" s="61">
        <v>8172</v>
      </c>
      <c r="E84" s="61">
        <v>6215088</v>
      </c>
      <c r="F84" s="61">
        <v>2986258</v>
      </c>
      <c r="G84" s="61">
        <v>3228830</v>
      </c>
    </row>
    <row r="85" spans="1:7" s="1" customFormat="1" ht="10.5" customHeight="1" x14ac:dyDescent="0.25">
      <c r="A85" s="125" t="s">
        <v>59</v>
      </c>
      <c r="B85" s="15">
        <v>1636</v>
      </c>
      <c r="C85" s="15">
        <v>620</v>
      </c>
      <c r="D85" s="15">
        <v>1016</v>
      </c>
      <c r="E85" s="15">
        <v>750761</v>
      </c>
      <c r="F85" s="15">
        <v>306753</v>
      </c>
      <c r="G85" s="15">
        <v>444008</v>
      </c>
    </row>
    <row r="86" spans="1:7" s="1" customFormat="1" ht="10.5" customHeight="1" x14ac:dyDescent="0.25">
      <c r="A86" s="125" t="s">
        <v>58</v>
      </c>
      <c r="B86" s="15">
        <v>13869</v>
      </c>
      <c r="C86" s="15">
        <v>6713</v>
      </c>
      <c r="D86" s="15">
        <v>7156</v>
      </c>
      <c r="E86" s="15">
        <v>5464327</v>
      </c>
      <c r="F86" s="15">
        <v>2679505</v>
      </c>
      <c r="G86" s="15">
        <v>2784822</v>
      </c>
    </row>
    <row r="87" spans="1:7" s="1" customFormat="1" ht="10.5" customHeight="1" x14ac:dyDescent="0.25">
      <c r="A87" s="82"/>
      <c r="B87" s="88"/>
      <c r="C87" s="88"/>
      <c r="D87" s="88"/>
      <c r="E87" s="88"/>
      <c r="F87" s="88"/>
      <c r="G87" s="88"/>
    </row>
    <row r="88" spans="1:7" s="1" customFormat="1" ht="10.5" customHeight="1" x14ac:dyDescent="0.25">
      <c r="A88" s="78" t="s">
        <v>20</v>
      </c>
      <c r="B88" s="61">
        <v>51722</v>
      </c>
      <c r="C88" s="61">
        <v>26000</v>
      </c>
      <c r="D88" s="61">
        <v>25722</v>
      </c>
      <c r="E88" s="61">
        <v>535664</v>
      </c>
      <c r="F88" s="61">
        <v>266807</v>
      </c>
      <c r="G88" s="61">
        <v>268857</v>
      </c>
    </row>
    <row r="89" spans="1:7" s="1" customFormat="1" ht="10.5" customHeight="1" x14ac:dyDescent="0.25">
      <c r="A89" s="125" t="s">
        <v>59</v>
      </c>
      <c r="B89" s="15">
        <v>3501</v>
      </c>
      <c r="C89" s="15">
        <v>1826</v>
      </c>
      <c r="D89" s="15">
        <v>1675</v>
      </c>
      <c r="E89" s="15">
        <v>57252</v>
      </c>
      <c r="F89" s="15">
        <v>25397</v>
      </c>
      <c r="G89" s="15">
        <v>31855</v>
      </c>
    </row>
    <row r="90" spans="1:7" s="1" customFormat="1" ht="10.5" customHeight="1" x14ac:dyDescent="0.25">
      <c r="A90" s="125" t="s">
        <v>58</v>
      </c>
      <c r="B90" s="15">
        <v>48221</v>
      </c>
      <c r="C90" s="15">
        <v>24174</v>
      </c>
      <c r="D90" s="15">
        <v>24047</v>
      </c>
      <c r="E90" s="15">
        <v>478412</v>
      </c>
      <c r="F90" s="15">
        <v>241410</v>
      </c>
      <c r="G90" s="15">
        <v>237002</v>
      </c>
    </row>
    <row r="91" spans="1:7" s="1" customFormat="1" ht="10.5" customHeight="1" x14ac:dyDescent="0.25">
      <c r="A91" s="82"/>
      <c r="B91" s="88"/>
      <c r="C91" s="88"/>
      <c r="D91" s="88"/>
      <c r="E91" s="88"/>
      <c r="F91" s="88"/>
      <c r="G91" s="88"/>
    </row>
    <row r="92" spans="1:7" s="1" customFormat="1" ht="10.5" customHeight="1" x14ac:dyDescent="0.25">
      <c r="A92" s="81" t="s">
        <v>19</v>
      </c>
      <c r="B92" s="61">
        <v>3494</v>
      </c>
      <c r="C92" s="61">
        <v>1769</v>
      </c>
      <c r="D92" s="61">
        <v>1725</v>
      </c>
      <c r="E92" s="61">
        <v>60471</v>
      </c>
      <c r="F92" s="61">
        <v>31682</v>
      </c>
      <c r="G92" s="61">
        <v>28789</v>
      </c>
    </row>
    <row r="93" spans="1:7" s="1" customFormat="1" ht="10.5" customHeight="1" x14ac:dyDescent="0.25">
      <c r="A93" s="125" t="s">
        <v>59</v>
      </c>
      <c r="B93" s="15">
        <v>422</v>
      </c>
      <c r="C93" s="15">
        <v>215</v>
      </c>
      <c r="D93" s="15">
        <v>207</v>
      </c>
      <c r="E93" s="15">
        <v>5737</v>
      </c>
      <c r="F93" s="15">
        <v>2639</v>
      </c>
      <c r="G93" s="15">
        <v>3098</v>
      </c>
    </row>
    <row r="94" spans="1:7" s="1" customFormat="1" ht="10.5" customHeight="1" x14ac:dyDescent="0.25">
      <c r="A94" s="125" t="s">
        <v>58</v>
      </c>
      <c r="B94" s="15">
        <v>3072</v>
      </c>
      <c r="C94" s="15">
        <v>1554</v>
      </c>
      <c r="D94" s="15">
        <v>1518</v>
      </c>
      <c r="E94" s="15">
        <v>54734</v>
      </c>
      <c r="F94" s="15">
        <v>29043</v>
      </c>
      <c r="G94" s="15">
        <v>25691</v>
      </c>
    </row>
    <row r="95" spans="1:7" s="1" customFormat="1" ht="10.5" customHeight="1" x14ac:dyDescent="0.25">
      <c r="A95" s="80"/>
      <c r="B95" s="93"/>
      <c r="C95" s="93"/>
      <c r="D95" s="93"/>
      <c r="E95" s="92"/>
      <c r="F95" s="92"/>
      <c r="G95" s="92"/>
    </row>
    <row r="96" spans="1:7" s="1" customFormat="1" ht="10.5" customHeight="1" x14ac:dyDescent="0.25">
      <c r="A96" s="78" t="s">
        <v>12</v>
      </c>
      <c r="B96" s="61">
        <v>128</v>
      </c>
      <c r="C96" s="61">
        <v>62</v>
      </c>
      <c r="D96" s="61">
        <v>66</v>
      </c>
      <c r="E96" s="61">
        <v>86216</v>
      </c>
      <c r="F96" s="61">
        <v>43212</v>
      </c>
      <c r="G96" s="61">
        <v>43004</v>
      </c>
    </row>
    <row r="97" spans="1:7" s="1" customFormat="1" ht="10.5" customHeight="1" x14ac:dyDescent="0.25">
      <c r="A97" s="125" t="s">
        <v>59</v>
      </c>
      <c r="B97" s="15">
        <v>16</v>
      </c>
      <c r="C97" s="15">
        <v>8</v>
      </c>
      <c r="D97" s="15">
        <v>8</v>
      </c>
      <c r="E97" s="15">
        <v>10581</v>
      </c>
      <c r="F97" s="15">
        <v>4538</v>
      </c>
      <c r="G97" s="15">
        <v>6043</v>
      </c>
    </row>
    <row r="98" spans="1:7" s="1" customFormat="1" ht="10.5" customHeight="1" x14ac:dyDescent="0.25">
      <c r="A98" s="125" t="s">
        <v>58</v>
      </c>
      <c r="B98" s="15">
        <v>112</v>
      </c>
      <c r="C98" s="15">
        <v>54</v>
      </c>
      <c r="D98" s="15">
        <v>58</v>
      </c>
      <c r="E98" s="15">
        <v>75635</v>
      </c>
      <c r="F98" s="15">
        <v>38674</v>
      </c>
      <c r="G98" s="15">
        <v>36961</v>
      </c>
    </row>
    <row r="99" spans="1:7" s="1" customFormat="1" ht="10.5" customHeight="1" x14ac:dyDescent="0.25">
      <c r="A99" s="82"/>
      <c r="B99" s="88"/>
      <c r="C99" s="88"/>
      <c r="D99" s="88"/>
      <c r="E99" s="88"/>
      <c r="F99" s="88"/>
      <c r="G99" s="88"/>
    </row>
    <row r="100" spans="1:7" s="1" customFormat="1" ht="10.5" customHeight="1" x14ac:dyDescent="0.25">
      <c r="A100" s="78" t="s">
        <v>11</v>
      </c>
      <c r="B100" s="61">
        <v>12284</v>
      </c>
      <c r="C100" s="61">
        <v>6110</v>
      </c>
      <c r="D100" s="61">
        <v>6174</v>
      </c>
      <c r="E100" s="61">
        <v>107909</v>
      </c>
      <c r="F100" s="61">
        <v>55064</v>
      </c>
      <c r="G100" s="61">
        <v>52845</v>
      </c>
    </row>
    <row r="101" spans="1:7" s="1" customFormat="1" ht="10.5" customHeight="1" x14ac:dyDescent="0.25">
      <c r="A101" s="125" t="s">
        <v>59</v>
      </c>
      <c r="B101" s="15">
        <v>1177</v>
      </c>
      <c r="C101" s="15">
        <v>566</v>
      </c>
      <c r="D101" s="15">
        <v>611</v>
      </c>
      <c r="E101" s="15">
        <v>11502</v>
      </c>
      <c r="F101" s="15">
        <v>5239</v>
      </c>
      <c r="G101" s="15">
        <v>6263</v>
      </c>
    </row>
    <row r="102" spans="1:7" s="1" customFormat="1" ht="10.5" customHeight="1" x14ac:dyDescent="0.25">
      <c r="A102" s="125" t="s">
        <v>58</v>
      </c>
      <c r="B102" s="15">
        <v>11107</v>
      </c>
      <c r="C102" s="15">
        <v>5544</v>
      </c>
      <c r="D102" s="15">
        <v>5563</v>
      </c>
      <c r="E102" s="15">
        <v>96407</v>
      </c>
      <c r="F102" s="15">
        <v>49825</v>
      </c>
      <c r="G102" s="15">
        <v>46582</v>
      </c>
    </row>
    <row r="103" spans="1:7" s="1" customFormat="1" ht="10.5" customHeight="1" x14ac:dyDescent="0.25">
      <c r="A103" s="82"/>
      <c r="B103" s="88"/>
      <c r="C103" s="88"/>
      <c r="D103" s="88"/>
      <c r="E103" s="88"/>
      <c r="F103" s="88"/>
      <c r="G103" s="88"/>
    </row>
    <row r="104" spans="1:7" s="1" customFormat="1" ht="10.5" customHeight="1" x14ac:dyDescent="0.25">
      <c r="A104" s="78" t="s">
        <v>10</v>
      </c>
      <c r="B104" s="61">
        <v>428</v>
      </c>
      <c r="C104" s="61">
        <v>222</v>
      </c>
      <c r="D104" s="61">
        <v>206</v>
      </c>
      <c r="E104" s="61">
        <v>1252467</v>
      </c>
      <c r="F104" s="61">
        <v>607101</v>
      </c>
      <c r="G104" s="61">
        <v>645366</v>
      </c>
    </row>
    <row r="105" spans="1:7" s="1" customFormat="1" ht="10.5" customHeight="1" x14ac:dyDescent="0.25">
      <c r="A105" s="125" t="s">
        <v>59</v>
      </c>
      <c r="B105" s="15">
        <v>55</v>
      </c>
      <c r="C105" s="15">
        <v>23</v>
      </c>
      <c r="D105" s="15">
        <v>32</v>
      </c>
      <c r="E105" s="15">
        <v>137069</v>
      </c>
      <c r="F105" s="15">
        <v>57910</v>
      </c>
      <c r="G105" s="15">
        <v>79159</v>
      </c>
    </row>
    <row r="106" spans="1:7" s="1" customFormat="1" ht="10.5" customHeight="1" x14ac:dyDescent="0.25">
      <c r="A106" s="125" t="s">
        <v>58</v>
      </c>
      <c r="B106" s="15">
        <v>373</v>
      </c>
      <c r="C106" s="15">
        <v>199</v>
      </c>
      <c r="D106" s="15">
        <v>174</v>
      </c>
      <c r="E106" s="15">
        <v>1115398</v>
      </c>
      <c r="F106" s="15">
        <v>549191</v>
      </c>
      <c r="G106" s="15">
        <v>566207</v>
      </c>
    </row>
    <row r="107" spans="1:7" s="1" customFormat="1" ht="10.5" customHeight="1" x14ac:dyDescent="0.25">
      <c r="A107" s="82"/>
      <c r="B107" s="88"/>
      <c r="C107" s="88"/>
      <c r="D107" s="88"/>
      <c r="E107" s="88"/>
      <c r="F107" s="88"/>
      <c r="G107" s="88"/>
    </row>
    <row r="108" spans="1:7" s="1" customFormat="1" ht="10.5" customHeight="1" x14ac:dyDescent="0.25">
      <c r="A108" s="78" t="s">
        <v>9</v>
      </c>
      <c r="B108" s="61">
        <v>157</v>
      </c>
      <c r="C108" s="61">
        <v>95</v>
      </c>
      <c r="D108" s="61">
        <v>62</v>
      </c>
      <c r="E108" s="61">
        <v>86222</v>
      </c>
      <c r="F108" s="61">
        <v>45192</v>
      </c>
      <c r="G108" s="61">
        <v>41030</v>
      </c>
    </row>
    <row r="109" spans="1:7" s="1" customFormat="1" ht="10.5" customHeight="1" x14ac:dyDescent="0.25">
      <c r="A109" s="125" t="s">
        <v>59</v>
      </c>
      <c r="B109" s="15">
        <v>14</v>
      </c>
      <c r="C109" s="15">
        <v>5</v>
      </c>
      <c r="D109" s="15">
        <v>9</v>
      </c>
      <c r="E109" s="15">
        <v>8482</v>
      </c>
      <c r="F109" s="15">
        <v>3916</v>
      </c>
      <c r="G109" s="15">
        <v>4566</v>
      </c>
    </row>
    <row r="110" spans="1:7" s="1" customFormat="1" ht="10.5" customHeight="1" x14ac:dyDescent="0.25">
      <c r="A110" s="125" t="s">
        <v>58</v>
      </c>
      <c r="B110" s="15">
        <v>143</v>
      </c>
      <c r="C110" s="15">
        <v>90</v>
      </c>
      <c r="D110" s="15">
        <v>53</v>
      </c>
      <c r="E110" s="15">
        <v>77740</v>
      </c>
      <c r="F110" s="15">
        <v>41276</v>
      </c>
      <c r="G110" s="15">
        <v>36464</v>
      </c>
    </row>
    <row r="111" spans="1:7" s="1" customFormat="1" ht="10.5" customHeight="1" x14ac:dyDescent="0.25">
      <c r="A111" s="82"/>
      <c r="B111" s="88"/>
      <c r="C111" s="88"/>
      <c r="D111" s="88"/>
      <c r="E111" s="88"/>
      <c r="F111" s="88"/>
      <c r="G111" s="88"/>
    </row>
    <row r="112" spans="1:7" s="1" customFormat="1" ht="10.5" customHeight="1" x14ac:dyDescent="0.25">
      <c r="A112" s="78" t="s">
        <v>8</v>
      </c>
      <c r="B112" s="61">
        <v>4764</v>
      </c>
      <c r="C112" s="61">
        <v>2351</v>
      </c>
      <c r="D112" s="61">
        <v>2413</v>
      </c>
      <c r="E112" s="61">
        <v>541008</v>
      </c>
      <c r="F112" s="61">
        <v>274725</v>
      </c>
      <c r="G112" s="61">
        <v>266283</v>
      </c>
    </row>
    <row r="113" spans="1:7" s="1" customFormat="1" ht="10.5" customHeight="1" x14ac:dyDescent="0.25">
      <c r="A113" s="125" t="s">
        <v>59</v>
      </c>
      <c r="B113" s="15">
        <v>324</v>
      </c>
      <c r="C113" s="15">
        <v>170</v>
      </c>
      <c r="D113" s="15">
        <v>154</v>
      </c>
      <c r="E113" s="15">
        <v>60294</v>
      </c>
      <c r="F113" s="15">
        <v>27913</v>
      </c>
      <c r="G113" s="15">
        <v>32381</v>
      </c>
    </row>
    <row r="114" spans="1:7" s="1" customFormat="1" ht="10.5" customHeight="1" x14ac:dyDescent="0.25">
      <c r="A114" s="125" t="s">
        <v>58</v>
      </c>
      <c r="B114" s="15">
        <v>4440</v>
      </c>
      <c r="C114" s="15">
        <v>2181</v>
      </c>
      <c r="D114" s="15">
        <v>2259</v>
      </c>
      <c r="E114" s="15">
        <v>480714</v>
      </c>
      <c r="F114" s="15">
        <v>246812</v>
      </c>
      <c r="G114" s="15">
        <v>233902</v>
      </c>
    </row>
    <row r="115" spans="1:7" s="1" customFormat="1" ht="10.5" customHeight="1" x14ac:dyDescent="0.25">
      <c r="A115" s="82"/>
      <c r="B115" s="88"/>
      <c r="C115" s="88"/>
      <c r="D115" s="88"/>
      <c r="E115" s="88"/>
      <c r="F115" s="88"/>
      <c r="G115" s="88"/>
    </row>
    <row r="116" spans="1:7" s="1" customFormat="1" ht="10.5" customHeight="1" x14ac:dyDescent="0.25">
      <c r="A116" s="78" t="s">
        <v>7</v>
      </c>
      <c r="B116" s="61">
        <v>248</v>
      </c>
      <c r="C116" s="61">
        <v>132</v>
      </c>
      <c r="D116" s="61">
        <v>116</v>
      </c>
      <c r="E116" s="61">
        <v>155775</v>
      </c>
      <c r="F116" s="61">
        <v>77169</v>
      </c>
      <c r="G116" s="61">
        <v>78606</v>
      </c>
    </row>
    <row r="117" spans="1:7" s="1" customFormat="1" ht="10.5" customHeight="1" x14ac:dyDescent="0.25">
      <c r="A117" s="125" t="s">
        <v>59</v>
      </c>
      <c r="B117" s="15">
        <v>20</v>
      </c>
      <c r="C117" s="15">
        <v>7</v>
      </c>
      <c r="D117" s="15">
        <v>13</v>
      </c>
      <c r="E117" s="15">
        <v>18626</v>
      </c>
      <c r="F117" s="15">
        <v>7922</v>
      </c>
      <c r="G117" s="15">
        <v>10704</v>
      </c>
    </row>
    <row r="118" spans="1:7" s="1" customFormat="1" ht="10.5" customHeight="1" x14ac:dyDescent="0.25">
      <c r="A118" s="125" t="s">
        <v>58</v>
      </c>
      <c r="B118" s="15">
        <v>228</v>
      </c>
      <c r="C118" s="15">
        <v>125</v>
      </c>
      <c r="D118" s="15">
        <v>103</v>
      </c>
      <c r="E118" s="15">
        <v>137149</v>
      </c>
      <c r="F118" s="15">
        <v>69247</v>
      </c>
      <c r="G118" s="15">
        <v>67902</v>
      </c>
    </row>
    <row r="119" spans="1:7" s="1" customFormat="1" ht="10.5" customHeight="1" x14ac:dyDescent="0.25">
      <c r="A119" s="80"/>
      <c r="B119" s="88"/>
      <c r="C119" s="88"/>
      <c r="D119" s="88"/>
      <c r="E119" s="88"/>
      <c r="F119" s="88"/>
      <c r="G119" s="88"/>
    </row>
    <row r="120" spans="1:7" s="1" customFormat="1" ht="10.5" customHeight="1" x14ac:dyDescent="0.25">
      <c r="A120" s="78" t="s">
        <v>6</v>
      </c>
      <c r="B120" s="61">
        <v>114</v>
      </c>
      <c r="C120" s="61">
        <v>77</v>
      </c>
      <c r="D120" s="61">
        <v>37</v>
      </c>
      <c r="E120" s="61">
        <v>147990</v>
      </c>
      <c r="F120" s="61">
        <v>73395</v>
      </c>
      <c r="G120" s="61">
        <v>74595</v>
      </c>
    </row>
    <row r="121" spans="1:7" s="1" customFormat="1" ht="10.5" customHeight="1" x14ac:dyDescent="0.25">
      <c r="A121" s="125" t="s">
        <v>59</v>
      </c>
      <c r="B121" s="15">
        <v>14</v>
      </c>
      <c r="C121" s="15">
        <v>11</v>
      </c>
      <c r="D121" s="15">
        <v>3</v>
      </c>
      <c r="E121" s="15">
        <v>16792</v>
      </c>
      <c r="F121" s="15">
        <v>6894</v>
      </c>
      <c r="G121" s="15">
        <v>9898</v>
      </c>
    </row>
    <row r="122" spans="1:7" s="1" customFormat="1" ht="10.5" customHeight="1" x14ac:dyDescent="0.25">
      <c r="A122" s="125" t="s">
        <v>58</v>
      </c>
      <c r="B122" s="15">
        <v>100</v>
      </c>
      <c r="C122" s="15">
        <v>66</v>
      </c>
      <c r="D122" s="15">
        <v>34</v>
      </c>
      <c r="E122" s="15">
        <v>131198</v>
      </c>
      <c r="F122" s="15">
        <v>66501</v>
      </c>
      <c r="G122" s="15">
        <v>64697</v>
      </c>
    </row>
    <row r="123" spans="1:7" s="1" customFormat="1" ht="10.5" customHeight="1" x14ac:dyDescent="0.25">
      <c r="A123" s="82"/>
      <c r="B123" s="88"/>
      <c r="C123" s="88"/>
      <c r="D123" s="88"/>
      <c r="E123" s="88"/>
      <c r="F123" s="88"/>
      <c r="G123" s="88"/>
    </row>
    <row r="124" spans="1:7" s="1" customFormat="1" ht="10.5" customHeight="1" x14ac:dyDescent="0.25">
      <c r="A124" s="78" t="s">
        <v>5</v>
      </c>
      <c r="B124" s="61">
        <v>36774</v>
      </c>
      <c r="C124" s="61">
        <v>17978</v>
      </c>
      <c r="D124" s="61">
        <v>18796</v>
      </c>
      <c r="E124" s="61">
        <v>293650</v>
      </c>
      <c r="F124" s="61">
        <v>147011</v>
      </c>
      <c r="G124" s="61">
        <v>146639</v>
      </c>
    </row>
    <row r="125" spans="1:7" s="1" customFormat="1" ht="10.5" customHeight="1" x14ac:dyDescent="0.25">
      <c r="A125" s="125" t="s">
        <v>59</v>
      </c>
      <c r="B125" s="15">
        <v>2207</v>
      </c>
      <c r="C125" s="15">
        <v>1071</v>
      </c>
      <c r="D125" s="15">
        <v>1136</v>
      </c>
      <c r="E125" s="15">
        <v>32472</v>
      </c>
      <c r="F125" s="15">
        <v>13832</v>
      </c>
      <c r="G125" s="15">
        <v>18640</v>
      </c>
    </row>
    <row r="126" spans="1:7" s="1" customFormat="1" ht="10.5" customHeight="1" x14ac:dyDescent="0.25">
      <c r="A126" s="125" t="s">
        <v>58</v>
      </c>
      <c r="B126" s="15">
        <v>34567</v>
      </c>
      <c r="C126" s="15">
        <v>16907</v>
      </c>
      <c r="D126" s="15">
        <v>17660</v>
      </c>
      <c r="E126" s="15">
        <v>261178</v>
      </c>
      <c r="F126" s="15">
        <v>133179</v>
      </c>
      <c r="G126" s="15">
        <v>127999</v>
      </c>
    </row>
    <row r="127" spans="1:7" s="1" customFormat="1" ht="10.5" customHeight="1" x14ac:dyDescent="0.25">
      <c r="A127" s="82"/>
      <c r="B127" s="88"/>
      <c r="C127" s="88"/>
      <c r="D127" s="88"/>
      <c r="E127" s="88"/>
      <c r="F127" s="88"/>
      <c r="G127" s="88"/>
    </row>
    <row r="128" spans="1:7" s="1" customFormat="1" ht="10.5" customHeight="1" x14ac:dyDescent="0.25">
      <c r="A128" s="113" t="s">
        <v>129</v>
      </c>
      <c r="B128" s="67">
        <v>14989</v>
      </c>
      <c r="C128" s="67">
        <v>7062</v>
      </c>
      <c r="D128" s="67">
        <v>7927</v>
      </c>
      <c r="E128" s="67">
        <v>5648599</v>
      </c>
      <c r="F128" s="67">
        <v>2703699</v>
      </c>
      <c r="G128" s="67">
        <v>2944900</v>
      </c>
    </row>
    <row r="129" spans="1:7" s="1" customFormat="1" ht="10.5" customHeight="1" x14ac:dyDescent="0.25">
      <c r="A129" s="125" t="s">
        <v>59</v>
      </c>
      <c r="B129" s="15">
        <v>1587</v>
      </c>
      <c r="C129" s="15">
        <v>599</v>
      </c>
      <c r="D129" s="15">
        <v>988</v>
      </c>
      <c r="E129" s="15">
        <v>678739</v>
      </c>
      <c r="F129" s="15">
        <v>275946</v>
      </c>
      <c r="G129" s="15">
        <v>402793</v>
      </c>
    </row>
    <row r="130" spans="1:7" s="1" customFormat="1" ht="10.5" customHeight="1" x14ac:dyDescent="0.25">
      <c r="A130" s="125" t="s">
        <v>58</v>
      </c>
      <c r="B130" s="15">
        <v>13402</v>
      </c>
      <c r="C130" s="15">
        <v>6463</v>
      </c>
      <c r="D130" s="15">
        <v>6939</v>
      </c>
      <c r="E130" s="15">
        <v>4969860</v>
      </c>
      <c r="F130" s="15">
        <v>2427753</v>
      </c>
      <c r="G130" s="15">
        <v>2542107</v>
      </c>
    </row>
    <row r="131" spans="1:7" s="1" customFormat="1" ht="3.75" customHeight="1" thickBot="1" x14ac:dyDescent="0.3">
      <c r="A131" s="83"/>
      <c r="B131" s="74"/>
      <c r="C131" s="74"/>
      <c r="D131" s="75"/>
      <c r="E131" s="76"/>
      <c r="F131" s="76"/>
      <c r="G131" s="76"/>
    </row>
    <row r="132" spans="1:7" s="1" customFormat="1" ht="10.5" customHeight="1" x14ac:dyDescent="0.25">
      <c r="A132" s="48"/>
      <c r="B132" s="7"/>
      <c r="C132" s="7"/>
      <c r="D132" s="6"/>
      <c r="E132" s="28"/>
      <c r="F132" s="28"/>
      <c r="G132" s="7" t="s">
        <v>83</v>
      </c>
    </row>
    <row r="133" spans="1:7" ht="12.75" customHeight="1" x14ac:dyDescent="0.2">
      <c r="A133" s="205" t="str">
        <f>A$1</f>
        <v>CUADRO Nº 2.6</v>
      </c>
      <c r="B133" s="205"/>
      <c r="C133" s="205"/>
      <c r="D133" s="205"/>
      <c r="E133" s="205"/>
      <c r="F133" s="205"/>
      <c r="G133" s="205"/>
    </row>
    <row r="134" spans="1:7" ht="20.25" customHeight="1" x14ac:dyDescent="0.2">
      <c r="A134" s="206" t="str">
        <f>A$2</f>
        <v>PERÚ: POBLACIÓN CENSADA INDÍGENA U ORIGINARIA DE LA AMAZONÍA, BLANCA(O), MESTIZA(O) Y OTRA(O) DE 12 Y MÁS AÑOS DE EDAD, POR SEXO, SEGÚN CONDICIÓN DE DISCAPACIDAD, ÁREA DE RESIDENCIA Y DEPARTAMENTO, 2017</v>
      </c>
      <c r="B134" s="206"/>
      <c r="C134" s="206"/>
      <c r="D134" s="206"/>
      <c r="E134" s="206"/>
      <c r="F134" s="206"/>
      <c r="G134" s="206"/>
    </row>
    <row r="135" spans="1:7" ht="12.75" customHeight="1" x14ac:dyDescent="0.25">
      <c r="A135" s="215" t="str">
        <f>A$3</f>
        <v>(Cifras absolutas)</v>
      </c>
      <c r="B135" s="215"/>
      <c r="C135" s="215"/>
      <c r="D135" s="215"/>
      <c r="E135" s="215"/>
      <c r="F135" s="215"/>
      <c r="G135" s="215"/>
    </row>
    <row r="136" spans="1:7" ht="10.5" customHeight="1" thickBot="1" x14ac:dyDescent="0.3">
      <c r="A136" s="47"/>
      <c r="B136" s="47"/>
      <c r="C136" s="47"/>
      <c r="D136" s="47"/>
      <c r="E136" s="47"/>
      <c r="F136" s="47"/>
      <c r="G136" s="6" t="s">
        <v>16</v>
      </c>
    </row>
    <row r="137" spans="1:7" ht="12.75" customHeight="1" thickBot="1" x14ac:dyDescent="0.25">
      <c r="A137" s="225" t="str">
        <f>A$5</f>
        <v>Condición de discapacidad / Área de residencia y departamento</v>
      </c>
      <c r="B137" s="211" t="str">
        <f>B$5</f>
        <v>Indígena u originaria de la Amazonía</v>
      </c>
      <c r="C137" s="211"/>
      <c r="D137" s="211"/>
      <c r="E137" s="210" t="s">
        <v>116</v>
      </c>
      <c r="F137" s="211"/>
      <c r="G137" s="212"/>
    </row>
    <row r="138" spans="1:7" ht="12.75" customHeight="1" thickBot="1" x14ac:dyDescent="0.25">
      <c r="A138" s="225"/>
      <c r="B138" s="54" t="str">
        <f t="shared" ref="B138:G138" si="1">B$6</f>
        <v>Total</v>
      </c>
      <c r="C138" s="54" t="str">
        <f t="shared" si="1"/>
        <v>Hombre</v>
      </c>
      <c r="D138" s="148" t="str">
        <f t="shared" si="1"/>
        <v>Mujer</v>
      </c>
      <c r="E138" s="53" t="str">
        <f t="shared" si="1"/>
        <v>Total</v>
      </c>
      <c r="F138" s="54" t="str">
        <f t="shared" si="1"/>
        <v>Hombre</v>
      </c>
      <c r="G138" s="55" t="str">
        <f t="shared" si="1"/>
        <v>Mujer</v>
      </c>
    </row>
    <row r="139" spans="1:7" ht="3.75" customHeight="1" x14ac:dyDescent="0.25">
      <c r="A139" s="146"/>
      <c r="B139" s="147"/>
      <c r="C139" s="85"/>
      <c r="D139" s="85"/>
      <c r="E139" s="86"/>
      <c r="F139" s="86"/>
      <c r="G139" s="87"/>
    </row>
    <row r="140" spans="1:7" s="1" customFormat="1" ht="10.5" customHeight="1" x14ac:dyDescent="0.25">
      <c r="A140" s="121" t="s">
        <v>130</v>
      </c>
      <c r="B140" s="67">
        <v>516</v>
      </c>
      <c r="C140" s="67">
        <v>271</v>
      </c>
      <c r="D140" s="67">
        <v>245</v>
      </c>
      <c r="E140" s="67">
        <v>566489</v>
      </c>
      <c r="F140" s="67">
        <v>282559</v>
      </c>
      <c r="G140" s="67">
        <v>283930</v>
      </c>
    </row>
    <row r="141" spans="1:7" s="1" customFormat="1" ht="10.5" customHeight="1" x14ac:dyDescent="0.25">
      <c r="A141" s="125" t="s">
        <v>59</v>
      </c>
      <c r="B141" s="15">
        <v>49</v>
      </c>
      <c r="C141" s="15">
        <v>21</v>
      </c>
      <c r="D141" s="15">
        <v>28</v>
      </c>
      <c r="E141" s="15">
        <v>72022</v>
      </c>
      <c r="F141" s="15">
        <v>30807</v>
      </c>
      <c r="G141" s="15">
        <v>41215</v>
      </c>
    </row>
    <row r="142" spans="1:7" s="1" customFormat="1" ht="10.5" customHeight="1" x14ac:dyDescent="0.25">
      <c r="A142" s="125" t="s">
        <v>58</v>
      </c>
      <c r="B142" s="15">
        <v>467</v>
      </c>
      <c r="C142" s="15">
        <v>250</v>
      </c>
      <c r="D142" s="15">
        <v>217</v>
      </c>
      <c r="E142" s="15">
        <v>494467</v>
      </c>
      <c r="F142" s="15">
        <v>251752</v>
      </c>
      <c r="G142" s="15">
        <v>242715</v>
      </c>
    </row>
    <row r="143" spans="1:7" s="1" customFormat="1" ht="3" customHeight="1" thickBot="1" x14ac:dyDescent="0.3">
      <c r="A143" s="107"/>
      <c r="B143" s="109"/>
      <c r="C143" s="109"/>
      <c r="D143" s="109"/>
      <c r="E143" s="76"/>
      <c r="F143" s="76"/>
      <c r="G143" s="76"/>
    </row>
    <row r="144" spans="1:7" s="1" customFormat="1" ht="5.25" customHeight="1" x14ac:dyDescent="0.25">
      <c r="A144" s="3"/>
      <c r="B144" s="2"/>
      <c r="C144" s="2"/>
      <c r="D144" s="2"/>
      <c r="E144" s="4"/>
      <c r="F144" s="4"/>
      <c r="G144" s="4"/>
    </row>
    <row r="145" spans="1:7" customFormat="1" ht="28.5" customHeight="1" x14ac:dyDescent="0.2">
      <c r="A145" s="204" t="s">
        <v>119</v>
      </c>
      <c r="B145" s="213"/>
      <c r="C145" s="213"/>
      <c r="D145" s="213"/>
      <c r="E145" s="213"/>
      <c r="F145" s="213"/>
      <c r="G145" s="213"/>
    </row>
    <row r="146" spans="1:7" customFormat="1" ht="13.5" x14ac:dyDescent="0.25">
      <c r="A146" s="49" t="s">
        <v>86</v>
      </c>
      <c r="B146" s="49"/>
      <c r="C146" s="49"/>
      <c r="D146" s="49"/>
      <c r="E146" s="4"/>
      <c r="F146" s="4"/>
      <c r="G146" s="4"/>
    </row>
    <row r="147" spans="1:7" customFormat="1" ht="13.5" x14ac:dyDescent="0.25">
      <c r="A147" s="49" t="s">
        <v>87</v>
      </c>
      <c r="B147" s="49"/>
      <c r="C147" s="49"/>
      <c r="D147" s="49"/>
      <c r="E147" s="4"/>
      <c r="F147" s="4"/>
      <c r="G147" s="4"/>
    </row>
    <row r="148" spans="1:7" customFormat="1" ht="25.5" customHeight="1" x14ac:dyDescent="0.25">
      <c r="A148" s="214" t="s">
        <v>118</v>
      </c>
      <c r="B148" s="213"/>
      <c r="C148" s="213"/>
      <c r="D148" s="213"/>
      <c r="E148" s="213"/>
      <c r="F148" s="213"/>
      <c r="G148" s="213"/>
    </row>
  </sheetData>
  <mergeCells count="20">
    <mergeCell ref="A133:G133"/>
    <mergeCell ref="A134:G134"/>
    <mergeCell ref="A135:G135"/>
    <mergeCell ref="A1:G1"/>
    <mergeCell ref="A2:G2"/>
    <mergeCell ref="A3:G3"/>
    <mergeCell ref="A5:A6"/>
    <mergeCell ref="B5:D5"/>
    <mergeCell ref="E5:G5"/>
    <mergeCell ref="A65:G65"/>
    <mergeCell ref="A66:G66"/>
    <mergeCell ref="A67:G67"/>
    <mergeCell ref="A69:A70"/>
    <mergeCell ref="B69:D69"/>
    <mergeCell ref="E69:G69"/>
    <mergeCell ref="A145:G145"/>
    <mergeCell ref="A148:G148"/>
    <mergeCell ref="A137:A138"/>
    <mergeCell ref="B137:D137"/>
    <mergeCell ref="E137:G137"/>
  </mergeCells>
  <pageMargins left="0.98425196850393704" right="0.98425196850393704" top="0.98425196850393704" bottom="0.98425196850393704" header="0.98425196850393704" footer="0.98425196850393704"/>
  <pageSetup paperSize="9" orientation="portrait" r:id="rId1"/>
  <rowBreaks count="2" manualBreakCount="2">
    <brk id="64" max="6" man="1"/>
    <brk id="132" max="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296"/>
  <sheetViews>
    <sheetView showWhiteSpace="0" view="pageBreakPreview" zoomScale="145" zoomScaleNormal="100" zoomScaleSheetLayoutView="145" workbookViewId="0">
      <selection sqref="A1:G1"/>
    </sheetView>
  </sheetViews>
  <sheetFormatPr baseColWidth="10" defaultRowHeight="11.25" x14ac:dyDescent="0.2"/>
  <cols>
    <col min="1" max="1" width="21.42578125" style="32" customWidth="1"/>
    <col min="2" max="7" width="10" style="34" customWidth="1"/>
    <col min="8" max="16384" width="11.42578125" style="32"/>
  </cols>
  <sheetData>
    <row r="1" spans="1:7" ht="12.75" customHeight="1" x14ac:dyDescent="0.2">
      <c r="A1" s="222" t="s">
        <v>142</v>
      </c>
      <c r="B1" s="222"/>
      <c r="C1" s="222"/>
      <c r="D1" s="222"/>
      <c r="E1" s="222"/>
      <c r="F1" s="222"/>
      <c r="G1" s="222"/>
    </row>
    <row r="2" spans="1:7" ht="31.5" customHeight="1" x14ac:dyDescent="0.2">
      <c r="A2" s="226" t="s">
        <v>115</v>
      </c>
      <c r="B2" s="226"/>
      <c r="C2" s="226"/>
      <c r="D2" s="226"/>
      <c r="E2" s="226"/>
      <c r="F2" s="226"/>
      <c r="G2" s="226"/>
    </row>
    <row r="3" spans="1:7" s="10" customFormat="1" ht="12.75" customHeight="1" x14ac:dyDescent="0.25">
      <c r="A3" s="215" t="s">
        <v>17</v>
      </c>
      <c r="B3" s="215"/>
      <c r="C3" s="215"/>
      <c r="D3" s="215"/>
      <c r="E3" s="215"/>
      <c r="F3" s="215"/>
      <c r="G3" s="215"/>
    </row>
    <row r="4" spans="1:7" s="10" customFormat="1" ht="10.5" customHeight="1" thickBot="1" x14ac:dyDescent="0.3">
      <c r="A4" s="47"/>
      <c r="B4" s="47"/>
      <c r="C4" s="47"/>
      <c r="D4" s="47"/>
      <c r="E4" s="47"/>
      <c r="F4" s="47"/>
      <c r="G4" s="47"/>
    </row>
    <row r="5" spans="1:7" ht="12.75" customHeight="1" thickBot="1" x14ac:dyDescent="0.25">
      <c r="A5" s="223" t="s">
        <v>90</v>
      </c>
      <c r="B5" s="210" t="s">
        <v>117</v>
      </c>
      <c r="C5" s="211"/>
      <c r="D5" s="212"/>
      <c r="E5" s="210" t="s">
        <v>135</v>
      </c>
      <c r="F5" s="211"/>
      <c r="G5" s="212"/>
    </row>
    <row r="6" spans="1:7" ht="22.5" customHeight="1" thickBot="1" x14ac:dyDescent="0.25">
      <c r="A6" s="224"/>
      <c r="B6" s="101" t="s">
        <v>77</v>
      </c>
      <c r="C6" s="99" t="s">
        <v>76</v>
      </c>
      <c r="D6" s="100" t="s">
        <v>75</v>
      </c>
      <c r="E6" s="127" t="s">
        <v>77</v>
      </c>
      <c r="F6" s="127" t="s">
        <v>76</v>
      </c>
      <c r="G6" s="128" t="s">
        <v>75</v>
      </c>
    </row>
    <row r="7" spans="1:7" ht="3.75" customHeight="1" x14ac:dyDescent="0.2">
      <c r="A7" s="129"/>
      <c r="B7" s="149"/>
      <c r="C7" s="149"/>
      <c r="D7" s="150"/>
      <c r="E7" s="150"/>
      <c r="F7" s="150"/>
      <c r="G7" s="150"/>
    </row>
    <row r="8" spans="1:7" ht="10.5" customHeight="1" x14ac:dyDescent="0.2">
      <c r="A8" s="130" t="s">
        <v>15</v>
      </c>
      <c r="B8" s="131">
        <f t="shared" ref="B8:D8" si="0">SUM(B9:B15)</f>
        <v>79421</v>
      </c>
      <c r="C8" s="131">
        <f t="shared" si="0"/>
        <v>208328.99999999968</v>
      </c>
      <c r="D8" s="131">
        <f t="shared" si="0"/>
        <v>8620.0000000000073</v>
      </c>
      <c r="E8" s="131">
        <v>5565523</v>
      </c>
      <c r="F8" s="131">
        <v>7841924.9999999888</v>
      </c>
      <c r="G8" s="131">
        <v>155975.99999999965</v>
      </c>
    </row>
    <row r="9" spans="1:7" ht="10.5" customHeight="1" x14ac:dyDescent="0.2">
      <c r="A9" s="132" t="s">
        <v>74</v>
      </c>
      <c r="B9" s="24">
        <v>16106</v>
      </c>
      <c r="C9" s="15">
        <v>5915.9999999999982</v>
      </c>
      <c r="D9" s="15">
        <v>91.000000000000327</v>
      </c>
      <c r="E9" s="24">
        <v>880956</v>
      </c>
      <c r="F9" s="15">
        <v>94399</v>
      </c>
      <c r="G9" s="15">
        <v>455.00000000000057</v>
      </c>
    </row>
    <row r="10" spans="1:7" ht="10.5" customHeight="1" x14ac:dyDescent="0.2">
      <c r="A10" s="132" t="s">
        <v>73</v>
      </c>
      <c r="B10" s="24">
        <v>14107</v>
      </c>
      <c r="C10" s="15">
        <v>20771</v>
      </c>
      <c r="D10" s="15">
        <v>420.99999999999829</v>
      </c>
      <c r="E10" s="24">
        <v>917845</v>
      </c>
      <c r="F10" s="15">
        <v>492608.99999999953</v>
      </c>
      <c r="G10" s="15">
        <v>4127.9999999999991</v>
      </c>
    </row>
    <row r="11" spans="1:7" ht="10.5" customHeight="1" x14ac:dyDescent="0.2">
      <c r="A11" s="132" t="s">
        <v>72</v>
      </c>
      <c r="B11" s="24">
        <v>13107</v>
      </c>
      <c r="C11" s="19">
        <v>32447.000000000022</v>
      </c>
      <c r="D11" s="19">
        <v>930.00000000000034</v>
      </c>
      <c r="E11" s="24">
        <v>865833</v>
      </c>
      <c r="F11" s="19">
        <v>939361.99999999662</v>
      </c>
      <c r="G11" s="19">
        <v>10273.999999999995</v>
      </c>
    </row>
    <row r="12" spans="1:7" ht="10.5" customHeight="1" x14ac:dyDescent="0.2">
      <c r="A12" s="132" t="s">
        <v>71</v>
      </c>
      <c r="B12" s="24">
        <v>11758</v>
      </c>
      <c r="C12" s="15">
        <v>40244.999999999833</v>
      </c>
      <c r="D12" s="15">
        <v>1258.0000000000011</v>
      </c>
      <c r="E12" s="24">
        <v>807603</v>
      </c>
      <c r="F12" s="15">
        <v>1340419.0000000019</v>
      </c>
      <c r="G12" s="15">
        <v>18927.000000000025</v>
      </c>
    </row>
    <row r="13" spans="1:7" ht="10.5" customHeight="1" x14ac:dyDescent="0.2">
      <c r="A13" s="132" t="s">
        <v>70</v>
      </c>
      <c r="B13" s="24">
        <v>9505</v>
      </c>
      <c r="C13" s="15">
        <v>38635.999999999891</v>
      </c>
      <c r="D13" s="15">
        <v>1578.0000000000032</v>
      </c>
      <c r="E13" s="24">
        <v>763163</v>
      </c>
      <c r="F13" s="15">
        <v>1605206.9999999895</v>
      </c>
      <c r="G13" s="15">
        <v>27933.999999999938</v>
      </c>
    </row>
    <row r="14" spans="1:7" ht="10.5" customHeight="1" x14ac:dyDescent="0.2">
      <c r="A14" s="132" t="s">
        <v>69</v>
      </c>
      <c r="B14" s="24">
        <v>8294</v>
      </c>
      <c r="C14" s="15">
        <v>38501.999999999898</v>
      </c>
      <c r="D14" s="15">
        <v>2150.9999999999964</v>
      </c>
      <c r="E14" s="24">
        <v>705051</v>
      </c>
      <c r="F14" s="15">
        <v>1711207.9999999939</v>
      </c>
      <c r="G14" s="15">
        <v>40286</v>
      </c>
    </row>
    <row r="15" spans="1:7" ht="10.5" customHeight="1" x14ac:dyDescent="0.2">
      <c r="A15" s="132" t="s">
        <v>68</v>
      </c>
      <c r="B15" s="24">
        <v>6544</v>
      </c>
      <c r="C15" s="15">
        <v>31812.00000000004</v>
      </c>
      <c r="D15" s="15">
        <v>2191.0000000000073</v>
      </c>
      <c r="E15" s="24">
        <v>625072</v>
      </c>
      <c r="F15" s="15">
        <v>1658720.9999999942</v>
      </c>
      <c r="G15" s="15">
        <v>53971.999999999745</v>
      </c>
    </row>
    <row r="16" spans="1:7" ht="10.5" customHeight="1" x14ac:dyDescent="0.25">
      <c r="A16" s="133"/>
      <c r="B16" s="151"/>
      <c r="C16" s="151"/>
      <c r="D16" s="151"/>
      <c r="E16" s="33"/>
      <c r="F16" s="151"/>
      <c r="G16" s="151"/>
    </row>
    <row r="17" spans="1:7" ht="10.5" customHeight="1" x14ac:dyDescent="0.2">
      <c r="A17" s="130" t="s">
        <v>35</v>
      </c>
      <c r="B17" s="131">
        <f t="shared" ref="B17:D17" si="1">SUM(B18:B24)</f>
        <v>13390</v>
      </c>
      <c r="C17" s="131">
        <f t="shared" si="1"/>
        <v>36690</v>
      </c>
      <c r="D17" s="131">
        <f t="shared" si="1"/>
        <v>1299.9999999999998</v>
      </c>
      <c r="E17" s="131">
        <v>74034</v>
      </c>
      <c r="F17" s="131">
        <v>135801.99999999933</v>
      </c>
      <c r="G17" s="131">
        <v>3282.0000000000109</v>
      </c>
    </row>
    <row r="18" spans="1:7" ht="10.5" customHeight="1" x14ac:dyDescent="0.2">
      <c r="A18" s="132" t="s">
        <v>74</v>
      </c>
      <c r="B18" s="24">
        <v>2956</v>
      </c>
      <c r="C18" s="15">
        <v>1058.9999999999998</v>
      </c>
      <c r="D18" s="15">
        <v>16.000000000000014</v>
      </c>
      <c r="E18" s="24">
        <v>12489</v>
      </c>
      <c r="F18" s="15">
        <v>2137.0000000000014</v>
      </c>
      <c r="G18" s="15">
        <v>9.0000000000000178</v>
      </c>
    </row>
    <row r="19" spans="1:7" ht="10.5" customHeight="1" x14ac:dyDescent="0.2">
      <c r="A19" s="132" t="s">
        <v>73</v>
      </c>
      <c r="B19" s="24">
        <v>2415</v>
      </c>
      <c r="C19" s="15">
        <v>3769.9999999999982</v>
      </c>
      <c r="D19" s="15">
        <v>57.000000000000192</v>
      </c>
      <c r="E19" s="24">
        <v>11090</v>
      </c>
      <c r="F19" s="15">
        <v>8981.9999999999745</v>
      </c>
      <c r="G19" s="15">
        <v>88.999999999999986</v>
      </c>
    </row>
    <row r="20" spans="1:7" ht="10.5" customHeight="1" x14ac:dyDescent="0.2">
      <c r="A20" s="132" t="s">
        <v>72</v>
      </c>
      <c r="B20" s="24">
        <v>2159</v>
      </c>
      <c r="C20" s="19">
        <v>5601.0000000000055</v>
      </c>
      <c r="D20" s="19">
        <v>102</v>
      </c>
      <c r="E20" s="24">
        <v>11215</v>
      </c>
      <c r="F20" s="19">
        <v>15836.999999999949</v>
      </c>
      <c r="G20" s="19">
        <v>202.99999999999918</v>
      </c>
    </row>
    <row r="21" spans="1:7" ht="10.5" customHeight="1" x14ac:dyDescent="0.2">
      <c r="A21" s="132" t="s">
        <v>71</v>
      </c>
      <c r="B21" s="24">
        <v>1941</v>
      </c>
      <c r="C21" s="15">
        <v>7089.0000000000009</v>
      </c>
      <c r="D21" s="15">
        <v>166.99999999999991</v>
      </c>
      <c r="E21" s="24">
        <v>11252</v>
      </c>
      <c r="F21" s="15">
        <v>23181.999999999894</v>
      </c>
      <c r="G21" s="15">
        <v>367.00000000000182</v>
      </c>
    </row>
    <row r="22" spans="1:7" ht="10.5" customHeight="1" x14ac:dyDescent="0.2">
      <c r="A22" s="132" t="s">
        <v>70</v>
      </c>
      <c r="B22" s="24">
        <v>1572</v>
      </c>
      <c r="C22" s="15">
        <v>7073.0000000000036</v>
      </c>
      <c r="D22" s="15">
        <v>248</v>
      </c>
      <c r="E22" s="24">
        <v>10292</v>
      </c>
      <c r="F22" s="15">
        <v>27151.999999999989</v>
      </c>
      <c r="G22" s="15">
        <v>563.00000000000136</v>
      </c>
    </row>
    <row r="23" spans="1:7" ht="10.5" customHeight="1" x14ac:dyDescent="0.2">
      <c r="A23" s="132" t="s">
        <v>69</v>
      </c>
      <c r="B23" s="24">
        <v>1343</v>
      </c>
      <c r="C23" s="15">
        <v>6745.9999999999973</v>
      </c>
      <c r="D23" s="15">
        <v>317.99999999999909</v>
      </c>
      <c r="E23" s="24">
        <v>9265</v>
      </c>
      <c r="F23" s="15">
        <v>29038.000000000007</v>
      </c>
      <c r="G23" s="15">
        <v>851.99999999999898</v>
      </c>
    </row>
    <row r="24" spans="1:7" ht="10.5" customHeight="1" x14ac:dyDescent="0.2">
      <c r="A24" s="132" t="s">
        <v>68</v>
      </c>
      <c r="B24" s="24">
        <v>1004</v>
      </c>
      <c r="C24" s="15">
        <v>5352</v>
      </c>
      <c r="D24" s="15">
        <v>392.00000000000063</v>
      </c>
      <c r="E24" s="24">
        <v>8431</v>
      </c>
      <c r="F24" s="15">
        <v>29474.000000000015</v>
      </c>
      <c r="G24" s="15">
        <v>1198.9999999999973</v>
      </c>
    </row>
    <row r="25" spans="1:7" ht="10.5" customHeight="1" x14ac:dyDescent="0.2">
      <c r="A25" s="133"/>
      <c r="B25" s="151"/>
      <c r="C25" s="151"/>
      <c r="D25" s="151"/>
      <c r="E25" s="151"/>
      <c r="F25" s="151"/>
      <c r="G25" s="151"/>
    </row>
    <row r="26" spans="1:7" ht="10.5" customHeight="1" x14ac:dyDescent="0.2">
      <c r="A26" s="130" t="s">
        <v>34</v>
      </c>
      <c r="B26" s="131">
        <f t="shared" ref="B26:D26" si="2">SUM(B27:B33)</f>
        <v>81</v>
      </c>
      <c r="C26" s="131">
        <f t="shared" si="2"/>
        <v>136</v>
      </c>
      <c r="D26" s="131">
        <f t="shared" si="2"/>
        <v>2</v>
      </c>
      <c r="E26" s="131">
        <v>174103</v>
      </c>
      <c r="F26" s="131">
        <v>256691.00000000119</v>
      </c>
      <c r="G26" s="131">
        <v>4743.0000000000191</v>
      </c>
    </row>
    <row r="27" spans="1:7" ht="10.5" customHeight="1" x14ac:dyDescent="0.2">
      <c r="A27" s="132" t="s">
        <v>74</v>
      </c>
      <c r="B27" s="24">
        <v>4</v>
      </c>
      <c r="C27" s="15"/>
      <c r="D27" s="15"/>
      <c r="E27" s="24">
        <v>28568</v>
      </c>
      <c r="F27" s="15">
        <v>2820.0000000000018</v>
      </c>
      <c r="G27" s="15">
        <v>11.00000000000002</v>
      </c>
    </row>
    <row r="28" spans="1:7" ht="10.5" customHeight="1" x14ac:dyDescent="0.2">
      <c r="A28" s="132" t="s">
        <v>73</v>
      </c>
      <c r="B28" s="24">
        <v>15</v>
      </c>
      <c r="C28" s="15">
        <v>11</v>
      </c>
      <c r="D28" s="15">
        <v>0</v>
      </c>
      <c r="E28" s="24">
        <v>28067</v>
      </c>
      <c r="F28" s="15">
        <v>14962.000000000065</v>
      </c>
      <c r="G28" s="15">
        <v>92.000000000000398</v>
      </c>
    </row>
    <row r="29" spans="1:7" ht="10.5" customHeight="1" x14ac:dyDescent="0.2">
      <c r="A29" s="132" t="s">
        <v>72</v>
      </c>
      <c r="B29" s="24">
        <v>16</v>
      </c>
      <c r="C29" s="19">
        <v>23.000000000000004</v>
      </c>
      <c r="D29" s="19">
        <v>1</v>
      </c>
      <c r="E29" s="24">
        <v>25895</v>
      </c>
      <c r="F29" s="19">
        <v>29106.999999999996</v>
      </c>
      <c r="G29" s="19">
        <v>295.00000000000114</v>
      </c>
    </row>
    <row r="30" spans="1:7" ht="10.5" customHeight="1" x14ac:dyDescent="0.2">
      <c r="A30" s="132" t="s">
        <v>71</v>
      </c>
      <c r="B30" s="24">
        <v>17</v>
      </c>
      <c r="C30" s="15">
        <v>33</v>
      </c>
      <c r="D30" s="15">
        <v>0</v>
      </c>
      <c r="E30" s="24">
        <v>24555</v>
      </c>
      <c r="F30" s="15">
        <v>42625.000000000371</v>
      </c>
      <c r="G30" s="15">
        <v>526.00000000000239</v>
      </c>
    </row>
    <row r="31" spans="1:7" ht="10.5" customHeight="1" x14ac:dyDescent="0.2">
      <c r="A31" s="132" t="s">
        <v>70</v>
      </c>
      <c r="B31" s="24">
        <v>14</v>
      </c>
      <c r="C31" s="15">
        <v>31</v>
      </c>
      <c r="D31" s="15">
        <v>0</v>
      </c>
      <c r="E31" s="24">
        <v>23905</v>
      </c>
      <c r="F31" s="15">
        <v>52418.999999999854</v>
      </c>
      <c r="G31" s="15">
        <v>798.99999999999636</v>
      </c>
    </row>
    <row r="32" spans="1:7" ht="10.5" customHeight="1" x14ac:dyDescent="0.2">
      <c r="A32" s="132" t="s">
        <v>69</v>
      </c>
      <c r="B32" s="24">
        <v>6</v>
      </c>
      <c r="C32" s="15">
        <v>15</v>
      </c>
      <c r="D32" s="15">
        <v>1</v>
      </c>
      <c r="E32" s="24">
        <v>22539</v>
      </c>
      <c r="F32" s="15">
        <v>57462.999999999753</v>
      </c>
      <c r="G32" s="15">
        <v>1235.0000000000009</v>
      </c>
    </row>
    <row r="33" spans="1:7" ht="10.5" customHeight="1" x14ac:dyDescent="0.2">
      <c r="A33" s="132" t="s">
        <v>68</v>
      </c>
      <c r="B33" s="24">
        <v>9</v>
      </c>
      <c r="C33" s="15">
        <v>23</v>
      </c>
      <c r="D33" s="15">
        <v>0</v>
      </c>
      <c r="E33" s="24">
        <v>20574</v>
      </c>
      <c r="F33" s="15">
        <v>57295.000000000218</v>
      </c>
      <c r="G33" s="15">
        <v>1785.0000000000111</v>
      </c>
    </row>
    <row r="34" spans="1:7" ht="10.5" customHeight="1" x14ac:dyDescent="0.2">
      <c r="A34" s="133"/>
      <c r="B34" s="151"/>
      <c r="C34" s="151"/>
      <c r="D34" s="151"/>
      <c r="E34" s="151"/>
      <c r="F34" s="151"/>
      <c r="G34" s="151"/>
    </row>
    <row r="35" spans="1:7" ht="10.5" customHeight="1" x14ac:dyDescent="0.2">
      <c r="A35" s="130" t="s">
        <v>33</v>
      </c>
      <c r="B35" s="131">
        <f t="shared" ref="B35:D35" si="3">SUM(B36:B42)</f>
        <v>64</v>
      </c>
      <c r="C35" s="131">
        <f t="shared" si="3"/>
        <v>96</v>
      </c>
      <c r="D35" s="131">
        <f t="shared" si="3"/>
        <v>4</v>
      </c>
      <c r="E35" s="131">
        <v>13117</v>
      </c>
      <c r="F35" s="131">
        <v>15083.999999999929</v>
      </c>
      <c r="G35" s="131">
        <v>300.00000000000102</v>
      </c>
    </row>
    <row r="36" spans="1:7" ht="10.5" customHeight="1" x14ac:dyDescent="0.2">
      <c r="A36" s="132" t="s">
        <v>74</v>
      </c>
      <c r="B36" s="24">
        <v>7</v>
      </c>
      <c r="C36" s="15">
        <v>0</v>
      </c>
      <c r="D36" s="15">
        <v>0</v>
      </c>
      <c r="E36" s="24">
        <v>2852</v>
      </c>
      <c r="F36" s="15">
        <v>177</v>
      </c>
      <c r="G36" s="15">
        <v>0</v>
      </c>
    </row>
    <row r="37" spans="1:7" ht="10.5" customHeight="1" x14ac:dyDescent="0.2">
      <c r="A37" s="132" t="s">
        <v>73</v>
      </c>
      <c r="B37" s="24">
        <v>14</v>
      </c>
      <c r="C37" s="15">
        <v>12.000000000000002</v>
      </c>
      <c r="D37" s="15">
        <v>0</v>
      </c>
      <c r="E37" s="24">
        <v>2583</v>
      </c>
      <c r="F37" s="15">
        <v>870.00000000000045</v>
      </c>
      <c r="G37" s="15">
        <v>2.0000000000000004</v>
      </c>
    </row>
    <row r="38" spans="1:7" ht="10.5" customHeight="1" x14ac:dyDescent="0.2">
      <c r="A38" s="132" t="s">
        <v>72</v>
      </c>
      <c r="B38" s="24">
        <v>14</v>
      </c>
      <c r="C38" s="19">
        <v>20</v>
      </c>
      <c r="D38" s="19">
        <v>2</v>
      </c>
      <c r="E38" s="24">
        <v>2159</v>
      </c>
      <c r="F38" s="19">
        <v>1813.9999999999998</v>
      </c>
      <c r="G38" s="19">
        <v>11.000000000000018</v>
      </c>
    </row>
    <row r="39" spans="1:7" ht="10.5" customHeight="1" x14ac:dyDescent="0.2">
      <c r="A39" s="132" t="s">
        <v>71</v>
      </c>
      <c r="B39" s="24">
        <v>10</v>
      </c>
      <c r="C39" s="15">
        <v>13</v>
      </c>
      <c r="D39" s="15">
        <v>0</v>
      </c>
      <c r="E39" s="24">
        <v>1584</v>
      </c>
      <c r="F39" s="15">
        <v>2312.0000000000018</v>
      </c>
      <c r="G39" s="15">
        <v>34.000000000000014</v>
      </c>
    </row>
    <row r="40" spans="1:7" ht="10.5" customHeight="1" x14ac:dyDescent="0.2">
      <c r="A40" s="132" t="s">
        <v>70</v>
      </c>
      <c r="B40" s="24">
        <v>10</v>
      </c>
      <c r="C40" s="15">
        <v>21</v>
      </c>
      <c r="D40" s="15">
        <v>0</v>
      </c>
      <c r="E40" s="24">
        <v>1447</v>
      </c>
      <c r="F40" s="15">
        <v>2959.000000000005</v>
      </c>
      <c r="G40" s="15">
        <v>30.000000000000014</v>
      </c>
    </row>
    <row r="41" spans="1:7" ht="10.5" customHeight="1" x14ac:dyDescent="0.2">
      <c r="A41" s="132" t="s">
        <v>69</v>
      </c>
      <c r="B41" s="24">
        <v>7</v>
      </c>
      <c r="C41" s="15">
        <v>26.000000000000004</v>
      </c>
      <c r="D41" s="15">
        <v>2</v>
      </c>
      <c r="E41" s="24">
        <v>1341</v>
      </c>
      <c r="F41" s="15">
        <v>3466.0000000000027</v>
      </c>
      <c r="G41" s="15">
        <v>92.999999999999929</v>
      </c>
    </row>
    <row r="42" spans="1:7" ht="10.5" customHeight="1" x14ac:dyDescent="0.2">
      <c r="A42" s="132" t="s">
        <v>68</v>
      </c>
      <c r="B42" s="24">
        <v>2</v>
      </c>
      <c r="C42" s="15">
        <v>4</v>
      </c>
      <c r="D42" s="15">
        <v>0</v>
      </c>
      <c r="E42" s="24">
        <v>1151</v>
      </c>
      <c r="F42" s="15">
        <v>3486.0000000000009</v>
      </c>
      <c r="G42" s="15">
        <v>129.99999999999977</v>
      </c>
    </row>
    <row r="43" spans="1:7" ht="10.5" customHeight="1" x14ac:dyDescent="0.2">
      <c r="A43" s="133"/>
      <c r="B43" s="151"/>
      <c r="C43" s="151"/>
      <c r="D43" s="151"/>
      <c r="E43" s="151"/>
      <c r="F43" s="151"/>
      <c r="G43" s="151"/>
    </row>
    <row r="44" spans="1:7" ht="10.5" customHeight="1" x14ac:dyDescent="0.2">
      <c r="A44" s="130" t="s">
        <v>32</v>
      </c>
      <c r="B44" s="131">
        <f t="shared" ref="B44:D44" si="4">SUM(B45:B51)</f>
        <v>236</v>
      </c>
      <c r="C44" s="131">
        <f t="shared" si="4"/>
        <v>350</v>
      </c>
      <c r="D44" s="131">
        <f t="shared" si="4"/>
        <v>7</v>
      </c>
      <c r="E44" s="131">
        <v>237812</v>
      </c>
      <c r="F44" s="131">
        <v>268890.99999999703</v>
      </c>
      <c r="G44" s="131">
        <v>3612.9999999999554</v>
      </c>
    </row>
    <row r="45" spans="1:7" ht="10.5" customHeight="1" x14ac:dyDescent="0.2">
      <c r="A45" s="132" t="s">
        <v>74</v>
      </c>
      <c r="B45" s="24">
        <v>31</v>
      </c>
      <c r="C45" s="15">
        <v>8.0000000000000018</v>
      </c>
      <c r="D45" s="15">
        <v>0</v>
      </c>
      <c r="E45" s="24">
        <v>38623</v>
      </c>
      <c r="F45" s="15">
        <v>1925.0000000000025</v>
      </c>
      <c r="G45" s="15">
        <v>6.0000000000000018</v>
      </c>
    </row>
    <row r="46" spans="1:7" ht="10.5" customHeight="1" x14ac:dyDescent="0.2">
      <c r="A46" s="132" t="s">
        <v>73</v>
      </c>
      <c r="B46" s="24">
        <v>48</v>
      </c>
      <c r="C46" s="15">
        <v>32</v>
      </c>
      <c r="D46" s="15">
        <v>0</v>
      </c>
      <c r="E46" s="24">
        <v>39148</v>
      </c>
      <c r="F46" s="15">
        <v>12704.999999999965</v>
      </c>
      <c r="G46" s="15">
        <v>74.000000000000128</v>
      </c>
    </row>
    <row r="47" spans="1:7" ht="10.5" customHeight="1" x14ac:dyDescent="0.2">
      <c r="A47" s="132" t="s">
        <v>72</v>
      </c>
      <c r="B47" s="24">
        <v>52</v>
      </c>
      <c r="C47" s="19">
        <v>81</v>
      </c>
      <c r="D47" s="19">
        <v>0</v>
      </c>
      <c r="E47" s="24">
        <v>35759</v>
      </c>
      <c r="F47" s="19">
        <v>28975.000000000018</v>
      </c>
      <c r="G47" s="19">
        <v>214.99999999999929</v>
      </c>
    </row>
    <row r="48" spans="1:7" ht="10.5" customHeight="1" x14ac:dyDescent="0.2">
      <c r="A48" s="132" t="s">
        <v>71</v>
      </c>
      <c r="B48" s="24">
        <v>46</v>
      </c>
      <c r="C48" s="15">
        <v>77</v>
      </c>
      <c r="D48" s="15">
        <v>1</v>
      </c>
      <c r="E48" s="24">
        <v>32987</v>
      </c>
      <c r="F48" s="15">
        <v>45031.999999999891</v>
      </c>
      <c r="G48" s="15">
        <v>451.00000000000119</v>
      </c>
    </row>
    <row r="49" spans="1:7" ht="10.5" customHeight="1" x14ac:dyDescent="0.2">
      <c r="A49" s="132" t="s">
        <v>70</v>
      </c>
      <c r="B49" s="24">
        <v>28</v>
      </c>
      <c r="C49" s="15">
        <v>64</v>
      </c>
      <c r="D49" s="15">
        <v>3.0000000000000004</v>
      </c>
      <c r="E49" s="24">
        <v>32327</v>
      </c>
      <c r="F49" s="15">
        <v>56949.999999999651</v>
      </c>
      <c r="G49" s="15">
        <v>674.99999999999989</v>
      </c>
    </row>
    <row r="50" spans="1:7" ht="10.5" customHeight="1" x14ac:dyDescent="0.2">
      <c r="A50" s="132" t="s">
        <v>69</v>
      </c>
      <c r="B50" s="24">
        <v>18</v>
      </c>
      <c r="C50" s="15">
        <v>55.000000000000007</v>
      </c>
      <c r="D50" s="15">
        <v>2.0000000000000004</v>
      </c>
      <c r="E50" s="24">
        <v>30795</v>
      </c>
      <c r="F50" s="15">
        <v>61911.999999999847</v>
      </c>
      <c r="G50" s="15">
        <v>959.00000000001</v>
      </c>
    </row>
    <row r="51" spans="1:7" ht="10.5" customHeight="1" x14ac:dyDescent="0.2">
      <c r="A51" s="132" t="s">
        <v>68</v>
      </c>
      <c r="B51" s="24">
        <v>13</v>
      </c>
      <c r="C51" s="15">
        <v>33</v>
      </c>
      <c r="D51" s="15">
        <v>1</v>
      </c>
      <c r="E51" s="24">
        <v>28173</v>
      </c>
      <c r="F51" s="15">
        <v>61392.000000000196</v>
      </c>
      <c r="G51" s="15">
        <v>1232.9999999999945</v>
      </c>
    </row>
    <row r="52" spans="1:7" ht="10.5" customHeight="1" x14ac:dyDescent="0.2">
      <c r="A52" s="133"/>
      <c r="B52" s="151"/>
      <c r="C52" s="151"/>
      <c r="D52" s="151"/>
      <c r="E52" s="151"/>
      <c r="F52" s="151"/>
      <c r="G52" s="151"/>
    </row>
    <row r="53" spans="1:7" ht="10.5" customHeight="1" x14ac:dyDescent="0.2">
      <c r="A53" s="130" t="s">
        <v>31</v>
      </c>
      <c r="B53" s="131">
        <f t="shared" ref="B53:D53" si="5">SUM(B54:B60)</f>
        <v>115</v>
      </c>
      <c r="C53" s="131">
        <f t="shared" si="5"/>
        <v>224</v>
      </c>
      <c r="D53" s="131">
        <f t="shared" si="5"/>
        <v>7</v>
      </c>
      <c r="E53" s="131">
        <v>27767</v>
      </c>
      <c r="F53" s="131">
        <v>34037.999999999884</v>
      </c>
      <c r="G53" s="131">
        <v>690.99999999999932</v>
      </c>
    </row>
    <row r="54" spans="1:7" ht="10.5" customHeight="1" x14ac:dyDescent="0.2">
      <c r="A54" s="132" t="s">
        <v>74</v>
      </c>
      <c r="B54" s="24">
        <v>21</v>
      </c>
      <c r="C54" s="15">
        <v>12.000000000000002</v>
      </c>
      <c r="D54" s="15">
        <v>0</v>
      </c>
      <c r="E54" s="24">
        <v>6366</v>
      </c>
      <c r="F54" s="15">
        <v>665.99999999999977</v>
      </c>
      <c r="G54" s="15">
        <v>1.0000000000000002</v>
      </c>
    </row>
    <row r="55" spans="1:7" ht="10.5" customHeight="1" x14ac:dyDescent="0.2">
      <c r="A55" s="132" t="s">
        <v>73</v>
      </c>
      <c r="B55" s="24">
        <v>30</v>
      </c>
      <c r="C55" s="15">
        <v>49.000000000000007</v>
      </c>
      <c r="D55" s="15">
        <v>5</v>
      </c>
      <c r="E55" s="24">
        <v>5107</v>
      </c>
      <c r="F55" s="15">
        <v>2509.0000000000009</v>
      </c>
      <c r="G55" s="15">
        <v>22</v>
      </c>
    </row>
    <row r="56" spans="1:7" ht="10.5" customHeight="1" x14ac:dyDescent="0.2">
      <c r="A56" s="132" t="s">
        <v>72</v>
      </c>
      <c r="B56" s="24">
        <v>25</v>
      </c>
      <c r="C56" s="19">
        <v>37</v>
      </c>
      <c r="D56" s="19">
        <v>0</v>
      </c>
      <c r="E56" s="24">
        <v>4285</v>
      </c>
      <c r="F56" s="19">
        <v>4032.9999999999986</v>
      </c>
      <c r="G56" s="19">
        <v>28.999999999999961</v>
      </c>
    </row>
    <row r="57" spans="1:7" ht="10.5" customHeight="1" x14ac:dyDescent="0.2">
      <c r="A57" s="132" t="s">
        <v>71</v>
      </c>
      <c r="B57" s="24">
        <v>15</v>
      </c>
      <c r="C57" s="15">
        <v>41</v>
      </c>
      <c r="D57" s="15">
        <v>0</v>
      </c>
      <c r="E57" s="24">
        <v>3763</v>
      </c>
      <c r="F57" s="15">
        <v>5869.9999999999945</v>
      </c>
      <c r="G57" s="15">
        <v>88.000000000000057</v>
      </c>
    </row>
    <row r="58" spans="1:7" ht="10.5" customHeight="1" x14ac:dyDescent="0.2">
      <c r="A58" s="132" t="s">
        <v>70</v>
      </c>
      <c r="B58" s="24">
        <v>8</v>
      </c>
      <c r="C58" s="15">
        <v>24</v>
      </c>
      <c r="D58" s="15">
        <v>0</v>
      </c>
      <c r="E58" s="24">
        <v>3186</v>
      </c>
      <c r="F58" s="15">
        <v>6690.9999999999982</v>
      </c>
      <c r="G58" s="15">
        <v>110.99999999999994</v>
      </c>
    </row>
    <row r="59" spans="1:7" ht="10.5" customHeight="1" x14ac:dyDescent="0.2">
      <c r="A59" s="132" t="s">
        <v>69</v>
      </c>
      <c r="B59" s="24">
        <v>9</v>
      </c>
      <c r="C59" s="15">
        <v>33</v>
      </c>
      <c r="D59" s="15">
        <v>2</v>
      </c>
      <c r="E59" s="24">
        <v>2811</v>
      </c>
      <c r="F59" s="15">
        <v>7483.9999999999982</v>
      </c>
      <c r="G59" s="15">
        <v>197.00000000000026</v>
      </c>
    </row>
    <row r="60" spans="1:7" ht="10.5" customHeight="1" x14ac:dyDescent="0.2">
      <c r="A60" s="132" t="s">
        <v>68</v>
      </c>
      <c r="B60" s="24">
        <v>7</v>
      </c>
      <c r="C60" s="15">
        <v>28</v>
      </c>
      <c r="D60" s="15">
        <v>0</v>
      </c>
      <c r="E60" s="24">
        <v>2249</v>
      </c>
      <c r="F60" s="15">
        <v>6785.0000000000109</v>
      </c>
      <c r="G60" s="15">
        <v>243.00000000000031</v>
      </c>
    </row>
    <row r="61" spans="1:7" s="1" customFormat="1" ht="3.75" customHeight="1" thickBot="1" x14ac:dyDescent="0.3">
      <c r="A61" s="83"/>
      <c r="B61" s="74"/>
      <c r="C61" s="74"/>
      <c r="D61" s="75"/>
      <c r="E61" s="76"/>
      <c r="F61" s="76"/>
      <c r="G61" s="76"/>
    </row>
    <row r="62" spans="1:7" s="1" customFormat="1" ht="10.5" customHeight="1" x14ac:dyDescent="0.25">
      <c r="A62" s="48"/>
      <c r="B62" s="7"/>
      <c r="C62" s="7"/>
      <c r="D62" s="6"/>
      <c r="E62" s="28"/>
      <c r="F62" s="28"/>
      <c r="G62" s="7" t="s">
        <v>83</v>
      </c>
    </row>
    <row r="63" spans="1:7" ht="12.75" customHeight="1" x14ac:dyDescent="0.2">
      <c r="A63" s="222" t="str">
        <f>A$1</f>
        <v>CUADRO Nº 2.7</v>
      </c>
      <c r="B63" s="222"/>
      <c r="C63" s="222"/>
      <c r="D63" s="222"/>
      <c r="E63" s="222"/>
      <c r="F63" s="222"/>
      <c r="G63" s="222"/>
    </row>
    <row r="64" spans="1:7" ht="20.25" customHeight="1" x14ac:dyDescent="0.2">
      <c r="A64" s="226" t="str">
        <f>A$2</f>
        <v>PERÚ: HIJOS NACIDOS VIVOS E HIJOS FALLECIDOS DE LA MUJER INDÍGENA U ORIGINARIA DE LA AMAZONÍA, BLANCA, MESTIZA Y OTRA, SEGÚN GRUPO DE EDAD Y DEPARTAMENTO, 2017</v>
      </c>
      <c r="B64" s="226"/>
      <c r="C64" s="226"/>
      <c r="D64" s="226"/>
      <c r="E64" s="226"/>
      <c r="F64" s="226"/>
      <c r="G64" s="226"/>
    </row>
    <row r="65" spans="1:7" s="10" customFormat="1" ht="12.75" customHeight="1" x14ac:dyDescent="0.25">
      <c r="A65" s="215" t="str">
        <f>A$3</f>
        <v>(Cifras absolutas)</v>
      </c>
      <c r="B65" s="215"/>
      <c r="C65" s="215"/>
      <c r="D65" s="215"/>
      <c r="E65" s="215"/>
      <c r="F65" s="215"/>
      <c r="G65" s="215"/>
    </row>
    <row r="66" spans="1:7" s="10" customFormat="1" ht="10.5" customHeight="1" thickBot="1" x14ac:dyDescent="0.3">
      <c r="A66" s="47"/>
      <c r="B66" s="47"/>
      <c r="C66" s="47"/>
      <c r="D66" s="47"/>
      <c r="E66" s="47"/>
      <c r="F66" s="47"/>
      <c r="G66" s="47"/>
    </row>
    <row r="67" spans="1:7" ht="12.75" customHeight="1" thickBot="1" x14ac:dyDescent="0.25">
      <c r="A67" s="227" t="str">
        <f>A$5</f>
        <v>Grupo de edad / Departamento</v>
      </c>
      <c r="B67" s="210" t="str">
        <f>B$5</f>
        <v>Indígena u originaria de la Amazonía</v>
      </c>
      <c r="C67" s="211"/>
      <c r="D67" s="212"/>
      <c r="E67" s="210" t="s">
        <v>135</v>
      </c>
      <c r="F67" s="211"/>
      <c r="G67" s="212"/>
    </row>
    <row r="68" spans="1:7" ht="22.5" customHeight="1" thickBot="1" x14ac:dyDescent="0.25">
      <c r="A68" s="227"/>
      <c r="B68" s="101" t="str">
        <f>B$6</f>
        <v>Mujeres en edad fértil</v>
      </c>
      <c r="C68" s="99" t="str">
        <f t="shared" ref="C68:G68" si="6">C$6</f>
        <v>Hijos nacidos vivos</v>
      </c>
      <c r="D68" s="100" t="str">
        <f t="shared" si="6"/>
        <v>Hijos fallecidos</v>
      </c>
      <c r="E68" s="99" t="str">
        <f t="shared" si="6"/>
        <v>Mujeres en edad fértil</v>
      </c>
      <c r="F68" s="99" t="str">
        <f t="shared" si="6"/>
        <v>Hijos nacidos vivos</v>
      </c>
      <c r="G68" s="100" t="str">
        <f t="shared" si="6"/>
        <v>Hijos fallecidos</v>
      </c>
    </row>
    <row r="69" spans="1:7" ht="3.75" customHeight="1" x14ac:dyDescent="0.2">
      <c r="A69" s="129"/>
      <c r="B69" s="149"/>
      <c r="C69" s="149"/>
      <c r="D69" s="150"/>
      <c r="E69" s="150"/>
      <c r="F69" s="150"/>
      <c r="G69" s="150"/>
    </row>
    <row r="70" spans="1:7" ht="10.5" customHeight="1" x14ac:dyDescent="0.2">
      <c r="A70" s="130" t="s">
        <v>30</v>
      </c>
      <c r="B70" s="131">
        <f t="shared" ref="B70:D70" si="7">SUM(B71:B77)</f>
        <v>738</v>
      </c>
      <c r="C70" s="131">
        <f t="shared" si="7"/>
        <v>1469.0000000000002</v>
      </c>
      <c r="D70" s="131">
        <f t="shared" si="7"/>
        <v>30</v>
      </c>
      <c r="E70" s="131">
        <v>300268</v>
      </c>
      <c r="F70" s="131">
        <v>529305.00000000477</v>
      </c>
      <c r="G70" s="131">
        <v>14465.999999999545</v>
      </c>
    </row>
    <row r="71" spans="1:7" ht="10.5" customHeight="1" x14ac:dyDescent="0.2">
      <c r="A71" s="132" t="s">
        <v>74</v>
      </c>
      <c r="B71" s="24">
        <v>156</v>
      </c>
      <c r="C71" s="15">
        <v>43.000000000000021</v>
      </c>
      <c r="D71" s="15">
        <v>0</v>
      </c>
      <c r="E71" s="24">
        <v>49294</v>
      </c>
      <c r="F71" s="15">
        <v>7380.9999999999764</v>
      </c>
      <c r="G71" s="15">
        <v>37.000000000000099</v>
      </c>
    </row>
    <row r="72" spans="1:7" ht="10.5" customHeight="1" x14ac:dyDescent="0.2">
      <c r="A72" s="132" t="s">
        <v>73</v>
      </c>
      <c r="B72" s="24">
        <v>143</v>
      </c>
      <c r="C72" s="15">
        <v>157.00000000000006</v>
      </c>
      <c r="D72" s="15">
        <v>2.0000000000000009</v>
      </c>
      <c r="E72" s="24">
        <v>45864</v>
      </c>
      <c r="F72" s="15">
        <v>33521.000000000073</v>
      </c>
      <c r="G72" s="15">
        <v>319.99999999999943</v>
      </c>
    </row>
    <row r="73" spans="1:7" ht="10.5" customHeight="1" x14ac:dyDescent="0.2">
      <c r="A73" s="132" t="s">
        <v>72</v>
      </c>
      <c r="B73" s="24">
        <v>108</v>
      </c>
      <c r="C73" s="19">
        <v>189</v>
      </c>
      <c r="D73" s="19">
        <v>2</v>
      </c>
      <c r="E73" s="24">
        <v>45213</v>
      </c>
      <c r="F73" s="19">
        <v>59667.000000000502</v>
      </c>
      <c r="G73" s="19">
        <v>771.99999999999989</v>
      </c>
    </row>
    <row r="74" spans="1:7" ht="10.5" customHeight="1" x14ac:dyDescent="0.2">
      <c r="A74" s="132" t="s">
        <v>71</v>
      </c>
      <c r="B74" s="24">
        <v>108</v>
      </c>
      <c r="C74" s="15">
        <v>285</v>
      </c>
      <c r="D74" s="15">
        <v>10</v>
      </c>
      <c r="E74" s="24">
        <v>45450</v>
      </c>
      <c r="F74" s="15">
        <v>88512.999999999491</v>
      </c>
      <c r="G74" s="15">
        <v>1607.0000000000039</v>
      </c>
    </row>
    <row r="75" spans="1:7" ht="10.5" customHeight="1" x14ac:dyDescent="0.2">
      <c r="A75" s="132" t="s">
        <v>70</v>
      </c>
      <c r="B75" s="24">
        <v>92</v>
      </c>
      <c r="C75" s="15">
        <v>308.00000000000006</v>
      </c>
      <c r="D75" s="15">
        <v>7</v>
      </c>
      <c r="E75" s="24">
        <v>42330</v>
      </c>
      <c r="F75" s="15">
        <v>106430.00000000047</v>
      </c>
      <c r="G75" s="15">
        <v>2424.0000000000173</v>
      </c>
    </row>
    <row r="76" spans="1:7" ht="10.5" customHeight="1" x14ac:dyDescent="0.2">
      <c r="A76" s="132" t="s">
        <v>69</v>
      </c>
      <c r="B76" s="24">
        <v>63</v>
      </c>
      <c r="C76" s="15">
        <v>211.00000000000006</v>
      </c>
      <c r="D76" s="15">
        <v>3</v>
      </c>
      <c r="E76" s="24">
        <v>38280</v>
      </c>
      <c r="F76" s="15">
        <v>115879.00000000028</v>
      </c>
      <c r="G76" s="15">
        <v>3884.9999999999886</v>
      </c>
    </row>
    <row r="77" spans="1:7" ht="10.5" customHeight="1" x14ac:dyDescent="0.2">
      <c r="A77" s="132" t="s">
        <v>68</v>
      </c>
      <c r="B77" s="24">
        <v>68</v>
      </c>
      <c r="C77" s="15">
        <v>276</v>
      </c>
      <c r="D77" s="15">
        <v>6</v>
      </c>
      <c r="E77" s="24">
        <v>33837</v>
      </c>
      <c r="F77" s="15">
        <v>117913.99999999945</v>
      </c>
      <c r="G77" s="15">
        <v>5420.9999999998854</v>
      </c>
    </row>
    <row r="78" spans="1:7" ht="10.5" customHeight="1" x14ac:dyDescent="0.2">
      <c r="A78" s="133"/>
      <c r="B78" s="151"/>
      <c r="C78" s="151"/>
      <c r="D78" s="151"/>
      <c r="E78" s="151"/>
      <c r="F78" s="151"/>
      <c r="G78" s="151"/>
    </row>
    <row r="79" spans="1:7" ht="10.5" customHeight="1" x14ac:dyDescent="0.2">
      <c r="A79" s="134" t="s">
        <v>29</v>
      </c>
      <c r="B79" s="131">
        <f t="shared" ref="B79:D79" si="8">SUM(B80:B86)</f>
        <v>608</v>
      </c>
      <c r="C79" s="131">
        <f t="shared" si="8"/>
        <v>1007.0000000000001</v>
      </c>
      <c r="D79" s="131">
        <f t="shared" si="8"/>
        <v>34</v>
      </c>
      <c r="E79" s="131">
        <v>229586</v>
      </c>
      <c r="F79" s="131">
        <v>302626.99999999651</v>
      </c>
      <c r="G79" s="131">
        <v>4329.0000000000182</v>
      </c>
    </row>
    <row r="80" spans="1:7" ht="10.5" customHeight="1" x14ac:dyDescent="0.2">
      <c r="A80" s="132" t="s">
        <v>74</v>
      </c>
      <c r="B80" s="24">
        <v>56</v>
      </c>
      <c r="C80" s="15">
        <v>13.000000000000002</v>
      </c>
      <c r="D80" s="15">
        <v>1</v>
      </c>
      <c r="E80" s="24">
        <v>33668</v>
      </c>
      <c r="F80" s="15">
        <v>2931.9999999999968</v>
      </c>
      <c r="G80" s="15">
        <v>13.000000000000036</v>
      </c>
    </row>
    <row r="81" spans="1:7" ht="10.5" customHeight="1" x14ac:dyDescent="0.2">
      <c r="A81" s="132" t="s">
        <v>73</v>
      </c>
      <c r="B81" s="24">
        <v>85</v>
      </c>
      <c r="C81" s="15">
        <v>65.000000000000014</v>
      </c>
      <c r="D81" s="15">
        <v>1.0000000000000004</v>
      </c>
      <c r="E81" s="24">
        <v>37675</v>
      </c>
      <c r="F81" s="15">
        <v>19117.999999999985</v>
      </c>
      <c r="G81" s="15">
        <v>131.00000000000108</v>
      </c>
    </row>
    <row r="82" spans="1:7" ht="10.5" customHeight="1" x14ac:dyDescent="0.2">
      <c r="A82" s="132" t="s">
        <v>72</v>
      </c>
      <c r="B82" s="24">
        <v>142</v>
      </c>
      <c r="C82" s="19">
        <v>188</v>
      </c>
      <c r="D82" s="19">
        <v>0</v>
      </c>
      <c r="E82" s="24">
        <v>35367</v>
      </c>
      <c r="F82" s="19">
        <v>36563.999999999942</v>
      </c>
      <c r="G82" s="19">
        <v>268.99999999999949</v>
      </c>
    </row>
    <row r="83" spans="1:7" ht="10.5" customHeight="1" x14ac:dyDescent="0.2">
      <c r="A83" s="132" t="s">
        <v>71</v>
      </c>
      <c r="B83" s="24">
        <v>110</v>
      </c>
      <c r="C83" s="15">
        <v>187.00000000000003</v>
      </c>
      <c r="D83" s="15">
        <v>0</v>
      </c>
      <c r="E83" s="24">
        <v>33525</v>
      </c>
      <c r="F83" s="15">
        <v>52299.999999999905</v>
      </c>
      <c r="G83" s="15">
        <v>592.99999999999932</v>
      </c>
    </row>
    <row r="84" spans="1:7" ht="10.5" customHeight="1" x14ac:dyDescent="0.2">
      <c r="A84" s="132" t="s">
        <v>70</v>
      </c>
      <c r="B84" s="24">
        <v>77</v>
      </c>
      <c r="C84" s="15">
        <v>155.00000000000003</v>
      </c>
      <c r="D84" s="15">
        <v>1</v>
      </c>
      <c r="E84" s="24">
        <v>32875</v>
      </c>
      <c r="F84" s="15">
        <v>64694.000000000342</v>
      </c>
      <c r="G84" s="15">
        <v>833.99999999999852</v>
      </c>
    </row>
    <row r="85" spans="1:7" ht="10.5" customHeight="1" x14ac:dyDescent="0.2">
      <c r="A85" s="132" t="s">
        <v>69</v>
      </c>
      <c r="B85" s="24">
        <v>80</v>
      </c>
      <c r="C85" s="15">
        <v>223.00000000000009</v>
      </c>
      <c r="D85" s="15">
        <v>3</v>
      </c>
      <c r="E85" s="24">
        <v>30153</v>
      </c>
      <c r="F85" s="15">
        <v>66192.000000000495</v>
      </c>
      <c r="G85" s="15">
        <v>1065.999999999993</v>
      </c>
    </row>
    <row r="86" spans="1:7" ht="10.5" customHeight="1" x14ac:dyDescent="0.2">
      <c r="A86" s="132" t="s">
        <v>68</v>
      </c>
      <c r="B86" s="24">
        <v>58</v>
      </c>
      <c r="C86" s="15">
        <v>176</v>
      </c>
      <c r="D86" s="15">
        <v>28</v>
      </c>
      <c r="E86" s="24">
        <v>26323</v>
      </c>
      <c r="F86" s="15">
        <v>60826.999999999753</v>
      </c>
      <c r="G86" s="15">
        <v>1423.0000000000023</v>
      </c>
    </row>
    <row r="87" spans="1:7" ht="10.5" customHeight="1" x14ac:dyDescent="0.2">
      <c r="A87" s="133"/>
      <c r="B87" s="151"/>
      <c r="C87" s="151"/>
      <c r="D87" s="151"/>
      <c r="E87" s="151"/>
      <c r="F87" s="151"/>
      <c r="G87" s="151"/>
    </row>
    <row r="88" spans="1:7" ht="10.5" customHeight="1" x14ac:dyDescent="0.2">
      <c r="A88" s="130" t="s">
        <v>28</v>
      </c>
      <c r="B88" s="131">
        <f t="shared" ref="B88:D88" si="9">SUM(B89:B95)</f>
        <v>2585</v>
      </c>
      <c r="C88" s="131">
        <f t="shared" si="9"/>
        <v>6480</v>
      </c>
      <c r="D88" s="131">
        <f t="shared" si="9"/>
        <v>357.99999999999994</v>
      </c>
      <c r="E88" s="131">
        <v>75716</v>
      </c>
      <c r="F88" s="131">
        <v>80563.999999999869</v>
      </c>
      <c r="G88" s="131">
        <v>1613.9999999999977</v>
      </c>
    </row>
    <row r="89" spans="1:7" ht="10.5" customHeight="1" x14ac:dyDescent="0.2">
      <c r="A89" s="132" t="s">
        <v>74</v>
      </c>
      <c r="B89" s="24">
        <v>517</v>
      </c>
      <c r="C89" s="15">
        <v>158</v>
      </c>
      <c r="D89" s="15">
        <v>4.0000000000000018</v>
      </c>
      <c r="E89" s="24">
        <v>15033</v>
      </c>
      <c r="F89" s="15">
        <v>934.99999999999989</v>
      </c>
      <c r="G89" s="15">
        <v>0</v>
      </c>
    </row>
    <row r="90" spans="1:7" ht="10.5" customHeight="1" x14ac:dyDescent="0.2">
      <c r="A90" s="132" t="s">
        <v>73</v>
      </c>
      <c r="B90" s="24">
        <v>463</v>
      </c>
      <c r="C90" s="15">
        <v>599.99999999999977</v>
      </c>
      <c r="D90" s="15">
        <v>8.0000000000000018</v>
      </c>
      <c r="E90" s="24">
        <v>13070</v>
      </c>
      <c r="F90" s="15">
        <v>4330.0000000000082</v>
      </c>
      <c r="G90" s="15">
        <v>30.000000000000114</v>
      </c>
    </row>
    <row r="91" spans="1:7" ht="10.5" customHeight="1" x14ac:dyDescent="0.2">
      <c r="A91" s="132" t="s">
        <v>72</v>
      </c>
      <c r="B91" s="24">
        <v>415</v>
      </c>
      <c r="C91" s="19">
        <v>946.0000000000008</v>
      </c>
      <c r="D91" s="19">
        <v>44.000000000000014</v>
      </c>
      <c r="E91" s="24">
        <v>11297</v>
      </c>
      <c r="F91" s="19">
        <v>8714.9999999999764</v>
      </c>
      <c r="G91" s="19">
        <v>99.000000000000227</v>
      </c>
    </row>
    <row r="92" spans="1:7" ht="10.5" customHeight="1" x14ac:dyDescent="0.2">
      <c r="A92" s="132" t="s">
        <v>71</v>
      </c>
      <c r="B92" s="24">
        <v>359</v>
      </c>
      <c r="C92" s="15">
        <v>1117.0000000000005</v>
      </c>
      <c r="D92" s="15">
        <v>33</v>
      </c>
      <c r="E92" s="24">
        <v>10158</v>
      </c>
      <c r="F92" s="15">
        <v>13062.000000000004</v>
      </c>
      <c r="G92" s="15">
        <v>160.99999999999997</v>
      </c>
    </row>
    <row r="93" spans="1:7" ht="10.5" customHeight="1" x14ac:dyDescent="0.2">
      <c r="A93" s="132" t="s">
        <v>70</v>
      </c>
      <c r="B93" s="24">
        <v>327</v>
      </c>
      <c r="C93" s="15">
        <v>1338.9999999999989</v>
      </c>
      <c r="D93" s="15">
        <v>72</v>
      </c>
      <c r="E93" s="24">
        <v>9527</v>
      </c>
      <c r="F93" s="15">
        <v>16816.000000000007</v>
      </c>
      <c r="G93" s="15">
        <v>329.99999999999977</v>
      </c>
    </row>
    <row r="94" spans="1:7" ht="10.5" customHeight="1" x14ac:dyDescent="0.2">
      <c r="A94" s="132" t="s">
        <v>69</v>
      </c>
      <c r="B94" s="24">
        <v>288</v>
      </c>
      <c r="C94" s="15">
        <v>1290.0000000000005</v>
      </c>
      <c r="D94" s="15">
        <v>105.99999999999994</v>
      </c>
      <c r="E94" s="24">
        <v>8832</v>
      </c>
      <c r="F94" s="15">
        <v>18945.999999999971</v>
      </c>
      <c r="G94" s="15">
        <v>470.00000000000057</v>
      </c>
    </row>
    <row r="95" spans="1:7" ht="10.5" customHeight="1" x14ac:dyDescent="0.2">
      <c r="A95" s="132" t="s">
        <v>68</v>
      </c>
      <c r="B95" s="24">
        <v>216</v>
      </c>
      <c r="C95" s="15">
        <v>1030.0000000000002</v>
      </c>
      <c r="D95" s="15">
        <v>91</v>
      </c>
      <c r="E95" s="24">
        <v>7799</v>
      </c>
      <c r="F95" s="15">
        <v>17760.000000000051</v>
      </c>
      <c r="G95" s="15">
        <v>523.99999999999886</v>
      </c>
    </row>
    <row r="96" spans="1:7" ht="10.5" customHeight="1" x14ac:dyDescent="0.2">
      <c r="A96" s="133"/>
      <c r="B96" s="151"/>
      <c r="C96" s="151"/>
      <c r="D96" s="151"/>
      <c r="E96" s="151"/>
      <c r="F96" s="151"/>
      <c r="G96" s="151"/>
    </row>
    <row r="97" spans="1:7" ht="10.5" customHeight="1" x14ac:dyDescent="0.2">
      <c r="A97" s="130" t="s">
        <v>27</v>
      </c>
      <c r="B97" s="131">
        <f t="shared" ref="B97:D97" si="10">SUM(B98:B104)</f>
        <v>18</v>
      </c>
      <c r="C97" s="131">
        <f t="shared" si="10"/>
        <v>25</v>
      </c>
      <c r="D97" s="131">
        <f t="shared" si="10"/>
        <v>0</v>
      </c>
      <c r="E97" s="131">
        <v>16746</v>
      </c>
      <c r="F97" s="131">
        <v>22717.000000000036</v>
      </c>
      <c r="G97" s="131">
        <v>755.99999999999659</v>
      </c>
    </row>
    <row r="98" spans="1:7" ht="10.5" customHeight="1" x14ac:dyDescent="0.2">
      <c r="A98" s="132" t="s">
        <v>74</v>
      </c>
      <c r="B98" s="24">
        <v>5</v>
      </c>
      <c r="C98" s="15">
        <v>0</v>
      </c>
      <c r="D98" s="15">
        <v>0</v>
      </c>
      <c r="E98" s="24">
        <v>4018</v>
      </c>
      <c r="F98" s="15">
        <v>382.99999999999983</v>
      </c>
      <c r="G98" s="15">
        <v>1.9999999999999982</v>
      </c>
    </row>
    <row r="99" spans="1:7" ht="10.5" customHeight="1" x14ac:dyDescent="0.2">
      <c r="A99" s="132" t="s">
        <v>73</v>
      </c>
      <c r="B99" s="24">
        <v>6</v>
      </c>
      <c r="C99" s="15">
        <v>10</v>
      </c>
      <c r="D99" s="15">
        <v>0</v>
      </c>
      <c r="E99" s="24">
        <v>3144</v>
      </c>
      <c r="F99" s="15">
        <v>1480.0000000000007</v>
      </c>
      <c r="G99" s="15">
        <v>15.000000000000011</v>
      </c>
    </row>
    <row r="100" spans="1:7" ht="10.5" customHeight="1" x14ac:dyDescent="0.2">
      <c r="A100" s="132" t="s">
        <v>72</v>
      </c>
      <c r="B100" s="24">
        <v>3</v>
      </c>
      <c r="C100" s="19">
        <v>6</v>
      </c>
      <c r="D100" s="19">
        <v>0</v>
      </c>
      <c r="E100" s="24">
        <v>2365</v>
      </c>
      <c r="F100" s="19">
        <v>2455.9999999999991</v>
      </c>
      <c r="G100" s="19">
        <v>40.999999999999964</v>
      </c>
    </row>
    <row r="101" spans="1:7" ht="10.5" customHeight="1" x14ac:dyDescent="0.2">
      <c r="A101" s="132" t="s">
        <v>71</v>
      </c>
      <c r="B101" s="24">
        <v>3</v>
      </c>
      <c r="C101" s="15">
        <v>7</v>
      </c>
      <c r="D101" s="15">
        <v>0</v>
      </c>
      <c r="E101" s="24">
        <v>2150</v>
      </c>
      <c r="F101" s="15">
        <v>3698.0000000000105</v>
      </c>
      <c r="G101" s="15">
        <v>66.000000000000071</v>
      </c>
    </row>
    <row r="102" spans="1:7" ht="10.5" customHeight="1" x14ac:dyDescent="0.2">
      <c r="A102" s="132" t="s">
        <v>70</v>
      </c>
      <c r="B102" s="24">
        <v>0</v>
      </c>
      <c r="C102" s="15">
        <v>0</v>
      </c>
      <c r="D102" s="15">
        <v>0</v>
      </c>
      <c r="E102" s="24">
        <v>1905</v>
      </c>
      <c r="F102" s="15">
        <v>4444.9999999999982</v>
      </c>
      <c r="G102" s="15">
        <v>143.00000000000014</v>
      </c>
    </row>
    <row r="103" spans="1:7" ht="10.5" customHeight="1" x14ac:dyDescent="0.2">
      <c r="A103" s="132" t="s">
        <v>69</v>
      </c>
      <c r="B103" s="24">
        <v>1</v>
      </c>
      <c r="C103" s="15">
        <v>2</v>
      </c>
      <c r="D103" s="15">
        <v>0</v>
      </c>
      <c r="E103" s="24">
        <v>1672</v>
      </c>
      <c r="F103" s="15">
        <v>5131.0000000000073</v>
      </c>
      <c r="G103" s="15">
        <v>174.9999999999998</v>
      </c>
    </row>
    <row r="104" spans="1:7" ht="10.5" customHeight="1" x14ac:dyDescent="0.2">
      <c r="A104" s="132" t="s">
        <v>68</v>
      </c>
      <c r="B104" s="24">
        <v>0</v>
      </c>
      <c r="C104" s="15">
        <v>0</v>
      </c>
      <c r="D104" s="15">
        <v>0</v>
      </c>
      <c r="E104" s="24">
        <v>1492</v>
      </c>
      <c r="F104" s="15">
        <v>5123.9999999999982</v>
      </c>
      <c r="G104" s="15">
        <v>314.00000000000011</v>
      </c>
    </row>
    <row r="105" spans="1:7" ht="10.5" customHeight="1" x14ac:dyDescent="0.2">
      <c r="A105" s="136"/>
      <c r="B105" s="151"/>
      <c r="C105" s="151"/>
      <c r="D105" s="151"/>
      <c r="E105" s="151"/>
      <c r="F105" s="151"/>
      <c r="G105" s="151"/>
    </row>
    <row r="106" spans="1:7" ht="10.5" customHeight="1" x14ac:dyDescent="0.2">
      <c r="A106" s="130" t="s">
        <v>26</v>
      </c>
      <c r="B106" s="131">
        <f t="shared" ref="B106:D106" si="11">SUM(B107:B113)</f>
        <v>792</v>
      </c>
      <c r="C106" s="131">
        <f t="shared" si="11"/>
        <v>2348</v>
      </c>
      <c r="D106" s="131">
        <f t="shared" si="11"/>
        <v>106.00000000000001</v>
      </c>
      <c r="E106" s="131">
        <v>101970</v>
      </c>
      <c r="F106" s="131">
        <v>159528.00000000073</v>
      </c>
      <c r="G106" s="131">
        <v>4175.0000000000027</v>
      </c>
    </row>
    <row r="107" spans="1:7" ht="10.5" customHeight="1" x14ac:dyDescent="0.2">
      <c r="A107" s="132" t="s">
        <v>74</v>
      </c>
      <c r="B107" s="24">
        <v>117</v>
      </c>
      <c r="C107" s="15">
        <v>50</v>
      </c>
      <c r="D107" s="15">
        <v>1.0000000000000002</v>
      </c>
      <c r="E107" s="24">
        <v>18829</v>
      </c>
      <c r="F107" s="15">
        <v>2797.9999999999959</v>
      </c>
      <c r="G107" s="15">
        <v>11.00000000000002</v>
      </c>
    </row>
    <row r="108" spans="1:7" ht="10.5" customHeight="1" x14ac:dyDescent="0.2">
      <c r="A108" s="132" t="s">
        <v>73</v>
      </c>
      <c r="B108" s="24">
        <v>127</v>
      </c>
      <c r="C108" s="15">
        <v>184</v>
      </c>
      <c r="D108" s="15">
        <v>6</v>
      </c>
      <c r="E108" s="24">
        <v>17853</v>
      </c>
      <c r="F108" s="15">
        <v>11183.000000000027</v>
      </c>
      <c r="G108" s="15">
        <v>98.000000000000313</v>
      </c>
    </row>
    <row r="109" spans="1:7" ht="10.5" customHeight="1" x14ac:dyDescent="0.2">
      <c r="A109" s="132" t="s">
        <v>72</v>
      </c>
      <c r="B109" s="24">
        <v>141</v>
      </c>
      <c r="C109" s="19">
        <v>341</v>
      </c>
      <c r="D109" s="19">
        <v>8.0000000000000018</v>
      </c>
      <c r="E109" s="24">
        <v>15641</v>
      </c>
      <c r="F109" s="19">
        <v>18921.999999999949</v>
      </c>
      <c r="G109" s="19">
        <v>198.00000000000048</v>
      </c>
    </row>
    <row r="110" spans="1:7" ht="10.5" customHeight="1" x14ac:dyDescent="0.2">
      <c r="A110" s="132" t="s">
        <v>71</v>
      </c>
      <c r="B110" s="24">
        <v>136</v>
      </c>
      <c r="C110" s="15">
        <v>478.00000000000006</v>
      </c>
      <c r="D110" s="15">
        <v>15.000000000000005</v>
      </c>
      <c r="E110" s="24">
        <v>14523</v>
      </c>
      <c r="F110" s="15">
        <v>26999.000000000011</v>
      </c>
      <c r="G110" s="15">
        <v>454.00000000000023</v>
      </c>
    </row>
    <row r="111" spans="1:7" ht="10.5" customHeight="1" x14ac:dyDescent="0.2">
      <c r="A111" s="132" t="s">
        <v>70</v>
      </c>
      <c r="B111" s="24">
        <v>106</v>
      </c>
      <c r="C111" s="15">
        <v>445.99999999999989</v>
      </c>
      <c r="D111" s="15">
        <v>25</v>
      </c>
      <c r="E111" s="24">
        <v>13371</v>
      </c>
      <c r="F111" s="15">
        <v>32249.999999999975</v>
      </c>
      <c r="G111" s="15">
        <v>745.99999999999727</v>
      </c>
    </row>
    <row r="112" spans="1:7" ht="10.5" customHeight="1" x14ac:dyDescent="0.2">
      <c r="A112" s="132" t="s">
        <v>69</v>
      </c>
      <c r="B112" s="24">
        <v>92</v>
      </c>
      <c r="C112" s="15">
        <v>466.99999999999994</v>
      </c>
      <c r="D112" s="15">
        <v>29.000000000000004</v>
      </c>
      <c r="E112" s="24">
        <v>11463</v>
      </c>
      <c r="F112" s="15">
        <v>33319.999999999884</v>
      </c>
      <c r="G112" s="15">
        <v>1088.0000000000023</v>
      </c>
    </row>
    <row r="113" spans="1:7" ht="10.5" customHeight="1" x14ac:dyDescent="0.2">
      <c r="A113" s="132" t="s">
        <v>68</v>
      </c>
      <c r="B113" s="24">
        <v>73</v>
      </c>
      <c r="C113" s="15">
        <v>381.99999999999989</v>
      </c>
      <c r="D113" s="15">
        <v>22</v>
      </c>
      <c r="E113" s="24">
        <v>10290</v>
      </c>
      <c r="F113" s="15">
        <v>34056.000000000065</v>
      </c>
      <c r="G113" s="15">
        <v>1580.0000000000025</v>
      </c>
    </row>
    <row r="114" spans="1:7" ht="10.5" customHeight="1" x14ac:dyDescent="0.2">
      <c r="A114" s="133"/>
      <c r="B114" s="151"/>
      <c r="C114" s="151"/>
      <c r="D114" s="151"/>
      <c r="E114" s="151"/>
      <c r="F114" s="151"/>
      <c r="G114" s="151"/>
    </row>
    <row r="115" spans="1:7" ht="10.5" customHeight="1" x14ac:dyDescent="0.2">
      <c r="A115" s="130" t="s">
        <v>25</v>
      </c>
      <c r="B115" s="131">
        <f t="shared" ref="B115:D115" si="12">SUM(B116:B122)</f>
        <v>322</v>
      </c>
      <c r="C115" s="131">
        <f t="shared" si="12"/>
        <v>619</v>
      </c>
      <c r="D115" s="131">
        <f t="shared" si="12"/>
        <v>26</v>
      </c>
      <c r="E115" s="131">
        <v>179882</v>
      </c>
      <c r="F115" s="131">
        <v>268303.99999999779</v>
      </c>
      <c r="G115" s="131">
        <v>4326.0000000000082</v>
      </c>
    </row>
    <row r="116" spans="1:7" ht="10.5" customHeight="1" x14ac:dyDescent="0.2">
      <c r="A116" s="132" t="s">
        <v>74</v>
      </c>
      <c r="B116" s="24">
        <v>50</v>
      </c>
      <c r="C116" s="15">
        <v>16</v>
      </c>
      <c r="D116" s="15">
        <v>0</v>
      </c>
      <c r="E116" s="24">
        <v>28317</v>
      </c>
      <c r="F116" s="15">
        <v>3404.9999999999986</v>
      </c>
      <c r="G116" s="15">
        <v>9.0000000000000284</v>
      </c>
    </row>
    <row r="117" spans="1:7" ht="10.5" customHeight="1" x14ac:dyDescent="0.2">
      <c r="A117" s="132" t="s">
        <v>73</v>
      </c>
      <c r="B117" s="24">
        <v>69</v>
      </c>
      <c r="C117" s="15">
        <v>87</v>
      </c>
      <c r="D117" s="15">
        <v>1.0000000000000002</v>
      </c>
      <c r="E117" s="24">
        <v>30107</v>
      </c>
      <c r="F117" s="15">
        <v>18978.000000000011</v>
      </c>
      <c r="G117" s="15">
        <v>125.99999999999994</v>
      </c>
    </row>
    <row r="118" spans="1:7" ht="10.5" customHeight="1" x14ac:dyDescent="0.2">
      <c r="A118" s="132" t="s">
        <v>72</v>
      </c>
      <c r="B118" s="24">
        <v>55</v>
      </c>
      <c r="C118" s="19">
        <v>83</v>
      </c>
      <c r="D118" s="19">
        <v>2.0000000000000004</v>
      </c>
      <c r="E118" s="24">
        <v>27750</v>
      </c>
      <c r="F118" s="19">
        <v>34623.000000000065</v>
      </c>
      <c r="G118" s="19">
        <v>315.99999999999983</v>
      </c>
    </row>
    <row r="119" spans="1:7" ht="10.5" customHeight="1" x14ac:dyDescent="0.2">
      <c r="A119" s="132" t="s">
        <v>71</v>
      </c>
      <c r="B119" s="24">
        <v>55</v>
      </c>
      <c r="C119" s="15">
        <v>104</v>
      </c>
      <c r="D119" s="15">
        <v>0</v>
      </c>
      <c r="E119" s="24">
        <v>26119</v>
      </c>
      <c r="F119" s="15">
        <v>46971.000000000065</v>
      </c>
      <c r="G119" s="15">
        <v>545.99999999999955</v>
      </c>
    </row>
    <row r="120" spans="1:7" ht="10.5" customHeight="1" x14ac:dyDescent="0.2">
      <c r="A120" s="132" t="s">
        <v>70</v>
      </c>
      <c r="B120" s="24">
        <v>33</v>
      </c>
      <c r="C120" s="15">
        <v>108.99999999999994</v>
      </c>
      <c r="D120" s="15">
        <v>10</v>
      </c>
      <c r="E120" s="24">
        <v>24170</v>
      </c>
      <c r="F120" s="15">
        <v>53481.999999999665</v>
      </c>
      <c r="G120" s="15">
        <v>795.99999999999886</v>
      </c>
    </row>
    <row r="121" spans="1:7" ht="10.5" customHeight="1" x14ac:dyDescent="0.2">
      <c r="A121" s="132" t="s">
        <v>69</v>
      </c>
      <c r="B121" s="24">
        <v>32</v>
      </c>
      <c r="C121" s="15">
        <v>113</v>
      </c>
      <c r="D121" s="15">
        <v>9</v>
      </c>
      <c r="E121" s="24">
        <v>23041</v>
      </c>
      <c r="F121" s="15">
        <v>57081.999999999593</v>
      </c>
      <c r="G121" s="15">
        <v>1104.0000000000066</v>
      </c>
    </row>
    <row r="122" spans="1:7" ht="10.5" customHeight="1" x14ac:dyDescent="0.2">
      <c r="A122" s="132" t="s">
        <v>68</v>
      </c>
      <c r="B122" s="24">
        <v>28</v>
      </c>
      <c r="C122" s="15">
        <v>107</v>
      </c>
      <c r="D122" s="15">
        <v>4.0000000000000009</v>
      </c>
      <c r="E122" s="24">
        <v>20378</v>
      </c>
      <c r="F122" s="15">
        <v>53763.000000000051</v>
      </c>
      <c r="G122" s="15">
        <v>1429.0000000000034</v>
      </c>
    </row>
    <row r="123" spans="1:7" s="1" customFormat="1" ht="3.75" customHeight="1" thickBot="1" x14ac:dyDescent="0.3">
      <c r="A123" s="83"/>
      <c r="B123" s="74"/>
      <c r="C123" s="74"/>
      <c r="D123" s="75"/>
      <c r="E123" s="76"/>
      <c r="F123" s="76"/>
      <c r="G123" s="76"/>
    </row>
    <row r="124" spans="1:7" s="1" customFormat="1" ht="10.5" customHeight="1" x14ac:dyDescent="0.25">
      <c r="A124" s="48"/>
      <c r="B124" s="7"/>
      <c r="C124" s="7"/>
      <c r="D124" s="6"/>
      <c r="E124" s="28"/>
      <c r="F124" s="28"/>
      <c r="G124" s="7" t="s">
        <v>83</v>
      </c>
    </row>
    <row r="125" spans="1:7" ht="12.75" customHeight="1" x14ac:dyDescent="0.2">
      <c r="A125" s="222" t="str">
        <f>A$1</f>
        <v>CUADRO Nº 2.7</v>
      </c>
      <c r="B125" s="222"/>
      <c r="C125" s="222"/>
      <c r="D125" s="222"/>
      <c r="E125" s="222"/>
      <c r="F125" s="222"/>
      <c r="G125" s="222"/>
    </row>
    <row r="126" spans="1:7" ht="20.25" customHeight="1" x14ac:dyDescent="0.2">
      <c r="A126" s="226" t="str">
        <f>A$2</f>
        <v>PERÚ: HIJOS NACIDOS VIVOS E HIJOS FALLECIDOS DE LA MUJER INDÍGENA U ORIGINARIA DE LA AMAZONÍA, BLANCA, MESTIZA Y OTRA, SEGÚN GRUPO DE EDAD Y DEPARTAMENTO, 2017</v>
      </c>
      <c r="B126" s="226"/>
      <c r="C126" s="226"/>
      <c r="D126" s="226"/>
      <c r="E126" s="226"/>
      <c r="F126" s="226"/>
      <c r="G126" s="226"/>
    </row>
    <row r="127" spans="1:7" s="10" customFormat="1" ht="12.75" customHeight="1" x14ac:dyDescent="0.25">
      <c r="A127" s="215" t="str">
        <f>A$3</f>
        <v>(Cifras absolutas)</v>
      </c>
      <c r="B127" s="215"/>
      <c r="C127" s="215"/>
      <c r="D127" s="215"/>
      <c r="E127" s="215"/>
      <c r="F127" s="215"/>
      <c r="G127" s="215"/>
    </row>
    <row r="128" spans="1:7" s="10" customFormat="1" ht="10.5" customHeight="1" thickBot="1" x14ac:dyDescent="0.3">
      <c r="A128" s="47"/>
      <c r="B128" s="47"/>
      <c r="C128" s="47"/>
      <c r="D128" s="47"/>
      <c r="E128" s="47"/>
      <c r="F128" s="47"/>
      <c r="G128" s="47"/>
    </row>
    <row r="129" spans="1:7" ht="12.75" customHeight="1" thickBot="1" x14ac:dyDescent="0.25">
      <c r="A129" s="227" t="str">
        <f>A$5</f>
        <v>Grupo de edad / Departamento</v>
      </c>
      <c r="B129" s="210" t="str">
        <f>B$5</f>
        <v>Indígena u originaria de la Amazonía</v>
      </c>
      <c r="C129" s="211"/>
      <c r="D129" s="212"/>
      <c r="E129" s="210" t="s">
        <v>135</v>
      </c>
      <c r="F129" s="211"/>
      <c r="G129" s="212"/>
    </row>
    <row r="130" spans="1:7" ht="22.5" customHeight="1" thickBot="1" x14ac:dyDescent="0.25">
      <c r="A130" s="227"/>
      <c r="B130" s="101" t="str">
        <f>B$6</f>
        <v>Mujeres en edad fértil</v>
      </c>
      <c r="C130" s="99" t="str">
        <f t="shared" ref="C130:G130" si="13">C$6</f>
        <v>Hijos nacidos vivos</v>
      </c>
      <c r="D130" s="100" t="str">
        <f t="shared" si="13"/>
        <v>Hijos fallecidos</v>
      </c>
      <c r="E130" s="99" t="str">
        <f t="shared" si="13"/>
        <v>Mujeres en edad fértil</v>
      </c>
      <c r="F130" s="99" t="str">
        <f t="shared" si="13"/>
        <v>Hijos nacidos vivos</v>
      </c>
      <c r="G130" s="100" t="str">
        <f t="shared" si="13"/>
        <v>Hijos fallecidos</v>
      </c>
    </row>
    <row r="131" spans="1:7" ht="3.75" customHeight="1" x14ac:dyDescent="0.2">
      <c r="A131" s="129"/>
      <c r="B131" s="149"/>
      <c r="C131" s="149"/>
      <c r="D131" s="150"/>
      <c r="E131" s="150"/>
      <c r="F131" s="150"/>
      <c r="G131" s="150"/>
    </row>
    <row r="132" spans="1:7" ht="10.5" customHeight="1" x14ac:dyDescent="0.2">
      <c r="A132" s="130" t="s">
        <v>24</v>
      </c>
      <c r="B132" s="131">
        <f t="shared" ref="B132:D132" si="14">SUM(B133:B139)</f>
        <v>13432</v>
      </c>
      <c r="C132" s="131">
        <f t="shared" si="14"/>
        <v>35057</v>
      </c>
      <c r="D132" s="131">
        <f t="shared" si="14"/>
        <v>1269.0000000000002</v>
      </c>
      <c r="E132" s="131">
        <v>200316</v>
      </c>
      <c r="F132" s="131">
        <v>283276.9999999975</v>
      </c>
      <c r="G132" s="131">
        <v>6254.9999999999654</v>
      </c>
    </row>
    <row r="133" spans="1:7" ht="10.5" customHeight="1" x14ac:dyDescent="0.2">
      <c r="A133" s="132" t="s">
        <v>74</v>
      </c>
      <c r="B133" s="24">
        <v>3072</v>
      </c>
      <c r="C133" s="15">
        <v>1172.0000000000005</v>
      </c>
      <c r="D133" s="15">
        <v>13.000000000000014</v>
      </c>
      <c r="E133" s="24">
        <v>36503</v>
      </c>
      <c r="F133" s="15">
        <v>3778.0000000000009</v>
      </c>
      <c r="G133" s="15">
        <v>12.000000000000023</v>
      </c>
    </row>
    <row r="134" spans="1:7" ht="10.5" customHeight="1" x14ac:dyDescent="0.2">
      <c r="A134" s="132" t="s">
        <v>73</v>
      </c>
      <c r="B134" s="24">
        <v>2386</v>
      </c>
      <c r="C134" s="15">
        <v>3746</v>
      </c>
      <c r="D134" s="15">
        <v>67.000000000000114</v>
      </c>
      <c r="E134" s="24">
        <v>33927</v>
      </c>
      <c r="F134" s="15">
        <v>17852.999999999964</v>
      </c>
      <c r="G134" s="15">
        <v>144.99999999999986</v>
      </c>
    </row>
    <row r="135" spans="1:7" ht="10.5" customHeight="1" x14ac:dyDescent="0.2">
      <c r="A135" s="132" t="s">
        <v>72</v>
      </c>
      <c r="B135" s="24">
        <v>2014</v>
      </c>
      <c r="C135" s="19">
        <v>5304.0000000000045</v>
      </c>
      <c r="D135" s="19">
        <v>143.00000000000011</v>
      </c>
      <c r="E135" s="24">
        <v>30732</v>
      </c>
      <c r="F135" s="19">
        <v>34351.999999999978</v>
      </c>
      <c r="G135" s="19">
        <v>321.00000000000023</v>
      </c>
    </row>
    <row r="136" spans="1:7" ht="10.5" customHeight="1" x14ac:dyDescent="0.2">
      <c r="A136" s="132" t="s">
        <v>71</v>
      </c>
      <c r="B136" s="24">
        <v>2024</v>
      </c>
      <c r="C136" s="15">
        <v>7200.0000000000018</v>
      </c>
      <c r="D136" s="15">
        <v>200.99999999999991</v>
      </c>
      <c r="E136" s="24">
        <v>28647</v>
      </c>
      <c r="F136" s="15">
        <v>48677.000000000036</v>
      </c>
      <c r="G136" s="15">
        <v>752.99999999999568</v>
      </c>
    </row>
    <row r="137" spans="1:7" ht="10.5" customHeight="1" x14ac:dyDescent="0.2">
      <c r="A137" s="132" t="s">
        <v>70</v>
      </c>
      <c r="B137" s="24">
        <v>1538</v>
      </c>
      <c r="C137" s="15">
        <v>6268.9999999999945</v>
      </c>
      <c r="D137" s="15">
        <v>214.99999999999986</v>
      </c>
      <c r="E137" s="24">
        <v>26347</v>
      </c>
      <c r="F137" s="15">
        <v>57828.000000000211</v>
      </c>
      <c r="G137" s="15">
        <v>1059.0000000000025</v>
      </c>
    </row>
    <row r="138" spans="1:7" ht="10.5" customHeight="1" x14ac:dyDescent="0.2">
      <c r="A138" s="132" t="s">
        <v>69</v>
      </c>
      <c r="B138" s="24">
        <v>1288</v>
      </c>
      <c r="C138" s="15">
        <v>5956.9999999999945</v>
      </c>
      <c r="D138" s="15">
        <v>286.00000000000011</v>
      </c>
      <c r="E138" s="24">
        <v>23437</v>
      </c>
      <c r="F138" s="15">
        <v>60124.000000000095</v>
      </c>
      <c r="G138" s="15">
        <v>1619.9999999999957</v>
      </c>
    </row>
    <row r="139" spans="1:7" ht="10.5" customHeight="1" x14ac:dyDescent="0.2">
      <c r="A139" s="132" t="s">
        <v>68</v>
      </c>
      <c r="B139" s="24">
        <v>1110</v>
      </c>
      <c r="C139" s="15">
        <v>5409.0000000000055</v>
      </c>
      <c r="D139" s="15">
        <v>344.00000000000011</v>
      </c>
      <c r="E139" s="24">
        <v>20723</v>
      </c>
      <c r="F139" s="15">
        <v>60664.999999999876</v>
      </c>
      <c r="G139" s="15">
        <v>2345.0000000000018</v>
      </c>
    </row>
    <row r="140" spans="1:7" ht="10.5" customHeight="1" x14ac:dyDescent="0.2">
      <c r="A140" s="133"/>
      <c r="B140" s="151"/>
      <c r="C140" s="151"/>
      <c r="D140" s="151"/>
      <c r="E140" s="151"/>
      <c r="F140" s="151"/>
      <c r="G140" s="151"/>
    </row>
    <row r="141" spans="1:7" ht="10.5" customHeight="1" x14ac:dyDescent="0.2">
      <c r="A141" s="130" t="s">
        <v>23</v>
      </c>
      <c r="B141" s="131">
        <f t="shared" ref="B141:D141" si="15">SUM(B142:B148)</f>
        <v>324</v>
      </c>
      <c r="C141" s="131">
        <f t="shared" si="15"/>
        <v>434.00000000000006</v>
      </c>
      <c r="D141" s="131">
        <f t="shared" si="15"/>
        <v>9</v>
      </c>
      <c r="E141" s="131">
        <v>419565</v>
      </c>
      <c r="F141" s="131">
        <v>643075.00000000303</v>
      </c>
      <c r="G141" s="131">
        <v>12968.999999999907</v>
      </c>
    </row>
    <row r="142" spans="1:7" ht="10.5" customHeight="1" x14ac:dyDescent="0.2">
      <c r="A142" s="132" t="s">
        <v>74</v>
      </c>
      <c r="B142" s="24">
        <v>39</v>
      </c>
      <c r="C142" s="15">
        <v>13</v>
      </c>
      <c r="D142" s="15">
        <v>0</v>
      </c>
      <c r="E142" s="24">
        <v>66248</v>
      </c>
      <c r="F142" s="15">
        <v>8381.0000000000218</v>
      </c>
      <c r="G142" s="15">
        <v>36.000000000000071</v>
      </c>
    </row>
    <row r="143" spans="1:7" ht="10.5" customHeight="1" x14ac:dyDescent="0.2">
      <c r="A143" s="132" t="s">
        <v>73</v>
      </c>
      <c r="B143" s="24">
        <v>77</v>
      </c>
      <c r="C143" s="15">
        <v>52.000000000000021</v>
      </c>
      <c r="D143" s="15">
        <v>0</v>
      </c>
      <c r="E143" s="24">
        <v>72162</v>
      </c>
      <c r="F143" s="15">
        <v>42468.999999999724</v>
      </c>
      <c r="G143" s="15">
        <v>305.00000000000023</v>
      </c>
    </row>
    <row r="144" spans="1:7" ht="10.5" customHeight="1" x14ac:dyDescent="0.2">
      <c r="A144" s="132" t="s">
        <v>72</v>
      </c>
      <c r="B144" s="24">
        <v>66</v>
      </c>
      <c r="C144" s="19">
        <v>56.000000000000007</v>
      </c>
      <c r="D144" s="19">
        <v>1</v>
      </c>
      <c r="E144" s="24">
        <v>65024</v>
      </c>
      <c r="F144" s="19">
        <v>78423.999999999985</v>
      </c>
      <c r="G144" s="19">
        <v>798.00000000000057</v>
      </c>
    </row>
    <row r="145" spans="1:7" ht="10.5" customHeight="1" x14ac:dyDescent="0.2">
      <c r="A145" s="132" t="s">
        <v>71</v>
      </c>
      <c r="B145" s="24">
        <v>47</v>
      </c>
      <c r="C145" s="15">
        <v>69.000000000000014</v>
      </c>
      <c r="D145" s="15">
        <v>1.0000000000000002</v>
      </c>
      <c r="E145" s="24">
        <v>60272</v>
      </c>
      <c r="F145" s="15">
        <v>110217</v>
      </c>
      <c r="G145" s="15">
        <v>1539.9999999999955</v>
      </c>
    </row>
    <row r="146" spans="1:7" ht="10.5" customHeight="1" x14ac:dyDescent="0.2">
      <c r="A146" s="132" t="s">
        <v>70</v>
      </c>
      <c r="B146" s="24">
        <v>38</v>
      </c>
      <c r="C146" s="15">
        <v>92</v>
      </c>
      <c r="D146" s="15">
        <v>1</v>
      </c>
      <c r="E146" s="24">
        <v>56311</v>
      </c>
      <c r="F146" s="15">
        <v>128709.99999999977</v>
      </c>
      <c r="G146" s="15">
        <v>2340.9999999999936</v>
      </c>
    </row>
    <row r="147" spans="1:7" ht="10.5" customHeight="1" x14ac:dyDescent="0.2">
      <c r="A147" s="132" t="s">
        <v>69</v>
      </c>
      <c r="B147" s="24">
        <v>34</v>
      </c>
      <c r="C147" s="15">
        <v>92</v>
      </c>
      <c r="D147" s="15">
        <v>6</v>
      </c>
      <c r="E147" s="24">
        <v>52513</v>
      </c>
      <c r="F147" s="15">
        <v>138547.00000000003</v>
      </c>
      <c r="G147" s="15">
        <v>3431.9999999999791</v>
      </c>
    </row>
    <row r="148" spans="1:7" ht="10.5" customHeight="1" x14ac:dyDescent="0.2">
      <c r="A148" s="132" t="s">
        <v>68</v>
      </c>
      <c r="B148" s="24">
        <v>23</v>
      </c>
      <c r="C148" s="15">
        <v>60.000000000000014</v>
      </c>
      <c r="D148" s="15">
        <v>0</v>
      </c>
      <c r="E148" s="24">
        <v>47035</v>
      </c>
      <c r="F148" s="15">
        <v>136327.00000000038</v>
      </c>
      <c r="G148" s="15">
        <v>4517</v>
      </c>
    </row>
    <row r="149" spans="1:7" ht="10.5" customHeight="1" x14ac:dyDescent="0.2">
      <c r="A149" s="133"/>
      <c r="B149" s="151"/>
      <c r="C149" s="151"/>
      <c r="D149" s="151"/>
      <c r="E149" s="151"/>
      <c r="F149" s="151"/>
      <c r="G149" s="151"/>
    </row>
    <row r="150" spans="1:7" ht="10.5" customHeight="1" x14ac:dyDescent="0.2">
      <c r="A150" s="130" t="s">
        <v>22</v>
      </c>
      <c r="B150" s="131">
        <f t="shared" ref="B150:D150" si="16">SUM(B151:B157)</f>
        <v>326</v>
      </c>
      <c r="C150" s="131">
        <f t="shared" si="16"/>
        <v>426</v>
      </c>
      <c r="D150" s="131">
        <f t="shared" si="16"/>
        <v>3</v>
      </c>
      <c r="E150" s="131">
        <v>277528</v>
      </c>
      <c r="F150" s="131">
        <v>416460.99999999441</v>
      </c>
      <c r="G150" s="131">
        <v>8736.0000000000855</v>
      </c>
    </row>
    <row r="151" spans="1:7" ht="10.5" customHeight="1" x14ac:dyDescent="0.2">
      <c r="A151" s="132" t="s">
        <v>74</v>
      </c>
      <c r="B151" s="24">
        <v>84</v>
      </c>
      <c r="C151" s="15">
        <v>23.000000000000004</v>
      </c>
      <c r="D151" s="15">
        <v>0</v>
      </c>
      <c r="E151" s="24">
        <v>44831</v>
      </c>
      <c r="F151" s="15">
        <v>5051.0000000000173</v>
      </c>
      <c r="G151" s="15">
        <v>14.99999999999998</v>
      </c>
    </row>
    <row r="152" spans="1:7" ht="10.5" customHeight="1" x14ac:dyDescent="0.2">
      <c r="A152" s="132" t="s">
        <v>73</v>
      </c>
      <c r="B152" s="24">
        <v>80</v>
      </c>
      <c r="C152" s="15">
        <v>54</v>
      </c>
      <c r="D152" s="15">
        <v>1.0000000000000002</v>
      </c>
      <c r="E152" s="24">
        <v>46711</v>
      </c>
      <c r="F152" s="15">
        <v>26417.9999999998</v>
      </c>
      <c r="G152" s="15">
        <v>238.00000000000014</v>
      </c>
    </row>
    <row r="153" spans="1:7" ht="10.5" customHeight="1" x14ac:dyDescent="0.2">
      <c r="A153" s="132" t="s">
        <v>72</v>
      </c>
      <c r="B153" s="24">
        <v>48</v>
      </c>
      <c r="C153" s="19">
        <v>67</v>
      </c>
      <c r="D153" s="19">
        <v>0</v>
      </c>
      <c r="E153" s="24">
        <v>41166</v>
      </c>
      <c r="F153" s="19">
        <v>48794.999999999905</v>
      </c>
      <c r="G153" s="19">
        <v>612.00000000000568</v>
      </c>
    </row>
    <row r="154" spans="1:7" ht="10.5" customHeight="1" x14ac:dyDescent="0.2">
      <c r="A154" s="132" t="s">
        <v>71</v>
      </c>
      <c r="B154" s="24">
        <v>46</v>
      </c>
      <c r="C154" s="15">
        <v>88</v>
      </c>
      <c r="D154" s="15">
        <v>0</v>
      </c>
      <c r="E154" s="24">
        <v>38225</v>
      </c>
      <c r="F154" s="15">
        <v>69229.00000000016</v>
      </c>
      <c r="G154" s="15">
        <v>1011.0000000000048</v>
      </c>
    </row>
    <row r="155" spans="1:7" ht="10.5" customHeight="1" x14ac:dyDescent="0.2">
      <c r="A155" s="132" t="s">
        <v>70</v>
      </c>
      <c r="B155" s="24">
        <v>26</v>
      </c>
      <c r="C155" s="15">
        <v>79</v>
      </c>
      <c r="D155" s="15">
        <v>1</v>
      </c>
      <c r="E155" s="24">
        <v>37335</v>
      </c>
      <c r="F155" s="15">
        <v>83902.999999999811</v>
      </c>
      <c r="G155" s="15">
        <v>1547.0000000000093</v>
      </c>
    </row>
    <row r="156" spans="1:7" ht="10.5" customHeight="1" x14ac:dyDescent="0.2">
      <c r="A156" s="132" t="s">
        <v>69</v>
      </c>
      <c r="B156" s="24">
        <v>19</v>
      </c>
      <c r="C156" s="15">
        <v>50</v>
      </c>
      <c r="D156" s="15">
        <v>1.0000000000000002</v>
      </c>
      <c r="E156" s="24">
        <v>36192</v>
      </c>
      <c r="F156" s="15">
        <v>92058.000000000393</v>
      </c>
      <c r="G156" s="15">
        <v>2182.0000000000064</v>
      </c>
    </row>
    <row r="157" spans="1:7" ht="10.5" customHeight="1" x14ac:dyDescent="0.2">
      <c r="A157" s="132" t="s">
        <v>68</v>
      </c>
      <c r="B157" s="24">
        <v>23</v>
      </c>
      <c r="C157" s="15">
        <v>65</v>
      </c>
      <c r="D157" s="15">
        <v>0</v>
      </c>
      <c r="E157" s="24">
        <v>33068</v>
      </c>
      <c r="F157" s="15">
        <v>91007.000000000044</v>
      </c>
      <c r="G157" s="15">
        <v>3131.0000000000114</v>
      </c>
    </row>
    <row r="158" spans="1:7" ht="10.5" customHeight="1" x14ac:dyDescent="0.2">
      <c r="A158" s="133"/>
      <c r="B158" s="151"/>
      <c r="C158" s="151"/>
      <c r="D158" s="151"/>
      <c r="E158" s="151"/>
      <c r="F158" s="151"/>
      <c r="G158" s="151"/>
    </row>
    <row r="159" spans="1:7" ht="10.5" customHeight="1" x14ac:dyDescent="0.2">
      <c r="A159" s="130" t="s">
        <v>21</v>
      </c>
      <c r="B159" s="131">
        <f t="shared" ref="B159:D159" si="17">SUM(B160:B166)</f>
        <v>6408</v>
      </c>
      <c r="C159" s="131">
        <f t="shared" si="17"/>
        <v>9342.0000000000036</v>
      </c>
      <c r="D159" s="131">
        <f t="shared" si="17"/>
        <v>146.00000000000009</v>
      </c>
      <c r="E159" s="131">
        <v>2127555</v>
      </c>
      <c r="F159" s="131">
        <v>2495093.0000000116</v>
      </c>
      <c r="G159" s="131">
        <v>32591.999999999916</v>
      </c>
    </row>
    <row r="160" spans="1:7" ht="10.5" customHeight="1" x14ac:dyDescent="0.2">
      <c r="A160" s="132" t="s">
        <v>74</v>
      </c>
      <c r="B160" s="24">
        <v>827</v>
      </c>
      <c r="C160" s="15">
        <v>152</v>
      </c>
      <c r="D160" s="15">
        <v>0</v>
      </c>
      <c r="E160" s="24">
        <v>310408</v>
      </c>
      <c r="F160" s="15">
        <v>22583.999999999953</v>
      </c>
      <c r="G160" s="15">
        <v>72</v>
      </c>
    </row>
    <row r="161" spans="1:7" ht="10.5" customHeight="1" x14ac:dyDescent="0.2">
      <c r="A161" s="132" t="s">
        <v>73</v>
      </c>
      <c r="B161" s="24">
        <v>1194</v>
      </c>
      <c r="C161" s="15">
        <v>782.00000000000023</v>
      </c>
      <c r="D161" s="15">
        <v>9.0000000000000018</v>
      </c>
      <c r="E161" s="24">
        <v>349518</v>
      </c>
      <c r="F161" s="15">
        <v>141119.99999999991</v>
      </c>
      <c r="G161" s="15">
        <v>784.999999999995</v>
      </c>
    </row>
    <row r="162" spans="1:7" ht="10.5" customHeight="1" x14ac:dyDescent="0.2">
      <c r="A162" s="132" t="s">
        <v>72</v>
      </c>
      <c r="B162" s="24">
        <v>1195</v>
      </c>
      <c r="C162" s="19">
        <v>1426</v>
      </c>
      <c r="D162" s="19">
        <v>12.000000000000009</v>
      </c>
      <c r="E162" s="24">
        <v>335840</v>
      </c>
      <c r="F162" s="19">
        <v>286898.99999999662</v>
      </c>
      <c r="G162" s="19">
        <v>2345.0000000000027</v>
      </c>
    </row>
    <row r="163" spans="1:7" ht="10.5" customHeight="1" x14ac:dyDescent="0.2">
      <c r="A163" s="132" t="s">
        <v>71</v>
      </c>
      <c r="B163" s="24">
        <v>1090</v>
      </c>
      <c r="C163" s="15">
        <v>1905.0000000000002</v>
      </c>
      <c r="D163" s="15">
        <v>21.000000000000028</v>
      </c>
      <c r="E163" s="24">
        <v>310604</v>
      </c>
      <c r="F163" s="15">
        <v>420695.00000000198</v>
      </c>
      <c r="G163" s="15">
        <v>4074.0000000000118</v>
      </c>
    </row>
    <row r="164" spans="1:7" ht="10.5" customHeight="1" x14ac:dyDescent="0.2">
      <c r="A164" s="132" t="s">
        <v>70</v>
      </c>
      <c r="B164" s="24">
        <v>879</v>
      </c>
      <c r="C164" s="15">
        <v>1780.0000000000018</v>
      </c>
      <c r="D164" s="15">
        <v>37.000000000000028</v>
      </c>
      <c r="E164" s="24">
        <v>297491</v>
      </c>
      <c r="F164" s="15">
        <v>521598.99999998847</v>
      </c>
      <c r="G164" s="15">
        <v>6070.9999999999682</v>
      </c>
    </row>
    <row r="165" spans="1:7" ht="10.5" customHeight="1" x14ac:dyDescent="0.2">
      <c r="A165" s="132" t="s">
        <v>69</v>
      </c>
      <c r="B165" s="24">
        <v>665</v>
      </c>
      <c r="C165" s="15">
        <v>1748.0000000000005</v>
      </c>
      <c r="D165" s="15">
        <v>31</v>
      </c>
      <c r="E165" s="24">
        <v>277886</v>
      </c>
      <c r="F165" s="15">
        <v>562226.9999999929</v>
      </c>
      <c r="G165" s="15">
        <v>8373.0000000000255</v>
      </c>
    </row>
    <row r="166" spans="1:7" ht="10.5" customHeight="1" x14ac:dyDescent="0.2">
      <c r="A166" s="132" t="s">
        <v>68</v>
      </c>
      <c r="B166" s="24">
        <v>558</v>
      </c>
      <c r="C166" s="15">
        <v>1549.0000000000016</v>
      </c>
      <c r="D166" s="15">
        <v>36.000000000000007</v>
      </c>
      <c r="E166" s="24">
        <v>245808</v>
      </c>
      <c r="F166" s="15">
        <v>539968.9999999929</v>
      </c>
      <c r="G166" s="15">
        <v>10871.999999999836</v>
      </c>
    </row>
    <row r="167" spans="1:7" ht="10.5" customHeight="1" x14ac:dyDescent="0.2">
      <c r="A167" s="133"/>
      <c r="B167" s="151"/>
      <c r="C167" s="151"/>
      <c r="D167" s="151"/>
      <c r="E167" s="151"/>
      <c r="F167" s="151"/>
      <c r="G167" s="151"/>
    </row>
    <row r="168" spans="1:7" ht="10.5" customHeight="1" x14ac:dyDescent="0.2">
      <c r="A168" s="130" t="s">
        <v>20</v>
      </c>
      <c r="B168" s="131">
        <f t="shared" ref="B168:D168" si="18">SUM(B169:B175)</f>
        <v>18524</v>
      </c>
      <c r="C168" s="131">
        <f t="shared" si="18"/>
        <v>53906.000000000007</v>
      </c>
      <c r="D168" s="131">
        <f t="shared" si="18"/>
        <v>2625.9999999999973</v>
      </c>
      <c r="E168" s="131">
        <v>180475</v>
      </c>
      <c r="F168" s="131">
        <v>376457.00000000338</v>
      </c>
      <c r="G168" s="131">
        <v>12666.99999999996</v>
      </c>
    </row>
    <row r="169" spans="1:7" ht="10.5" customHeight="1" x14ac:dyDescent="0.2">
      <c r="A169" s="132" t="s">
        <v>74</v>
      </c>
      <c r="B169" s="24">
        <v>3974</v>
      </c>
      <c r="C169" s="15">
        <v>1370.0000000000005</v>
      </c>
      <c r="D169" s="15">
        <v>22</v>
      </c>
      <c r="E169" s="24">
        <v>31509</v>
      </c>
      <c r="F169" s="15">
        <v>7325.9999999999991</v>
      </c>
      <c r="G169" s="15">
        <v>70.000000000000043</v>
      </c>
    </row>
    <row r="170" spans="1:7" ht="10.5" customHeight="1" x14ac:dyDescent="0.2">
      <c r="A170" s="132" t="s">
        <v>73</v>
      </c>
      <c r="B170" s="24">
        <v>3193</v>
      </c>
      <c r="C170" s="15">
        <v>5270.0000000000027</v>
      </c>
      <c r="D170" s="15">
        <v>102</v>
      </c>
      <c r="E170" s="24">
        <v>28609</v>
      </c>
      <c r="F170" s="15">
        <v>28585.999999999996</v>
      </c>
      <c r="G170" s="15">
        <v>417.99999999999972</v>
      </c>
    </row>
    <row r="171" spans="1:7" ht="10.5" customHeight="1" x14ac:dyDescent="0.2">
      <c r="A171" s="132" t="s">
        <v>72</v>
      </c>
      <c r="B171" s="24">
        <v>2938</v>
      </c>
      <c r="C171" s="19">
        <v>8277.9999999999927</v>
      </c>
      <c r="D171" s="19">
        <v>279.99999999999989</v>
      </c>
      <c r="E171" s="24">
        <v>29295</v>
      </c>
      <c r="F171" s="19">
        <v>51358.999999999352</v>
      </c>
      <c r="G171" s="19">
        <v>1041.9999999999936</v>
      </c>
    </row>
    <row r="172" spans="1:7" ht="10.5" customHeight="1" x14ac:dyDescent="0.2">
      <c r="A172" s="132" t="s">
        <v>71</v>
      </c>
      <c r="B172" s="24">
        <v>2640</v>
      </c>
      <c r="C172" s="15">
        <v>10298.999999999991</v>
      </c>
      <c r="D172" s="15">
        <v>418.99999999999875</v>
      </c>
      <c r="E172" s="24">
        <v>27481</v>
      </c>
      <c r="F172" s="15">
        <v>69404.99999999952</v>
      </c>
      <c r="G172" s="15">
        <v>1761.0000000000057</v>
      </c>
    </row>
    <row r="173" spans="1:7" ht="10.5" customHeight="1" x14ac:dyDescent="0.2">
      <c r="A173" s="132" t="s">
        <v>70</v>
      </c>
      <c r="B173" s="24">
        <v>2187</v>
      </c>
      <c r="C173" s="15">
        <v>9944.0000000000255</v>
      </c>
      <c r="D173" s="15">
        <v>468.99999999999966</v>
      </c>
      <c r="E173" s="24">
        <v>23820</v>
      </c>
      <c r="F173" s="15">
        <v>72761.00000000048</v>
      </c>
      <c r="G173" s="15">
        <v>2171.9999999999982</v>
      </c>
    </row>
    <row r="174" spans="1:7" ht="10.5" customHeight="1" x14ac:dyDescent="0.2">
      <c r="A174" s="132" t="s">
        <v>69</v>
      </c>
      <c r="B174" s="24">
        <v>2010</v>
      </c>
      <c r="C174" s="15">
        <v>10358.99999999998</v>
      </c>
      <c r="D174" s="15">
        <v>709.99999999999966</v>
      </c>
      <c r="E174" s="24">
        <v>21551</v>
      </c>
      <c r="F174" s="15">
        <v>76445.999999999985</v>
      </c>
      <c r="G174" s="15">
        <v>3245.0000000000073</v>
      </c>
    </row>
    <row r="175" spans="1:7" ht="10.5" customHeight="1" x14ac:dyDescent="0.2">
      <c r="A175" s="132" t="s">
        <v>68</v>
      </c>
      <c r="B175" s="24">
        <v>1582</v>
      </c>
      <c r="C175" s="15">
        <v>8386.0000000000127</v>
      </c>
      <c r="D175" s="15">
        <v>623.99999999999966</v>
      </c>
      <c r="E175" s="24">
        <v>18210</v>
      </c>
      <c r="F175" s="15">
        <v>70574.000000000276</v>
      </c>
      <c r="G175" s="15">
        <v>3958.9999999999955</v>
      </c>
    </row>
    <row r="176" spans="1:7" ht="10.5" customHeight="1" x14ac:dyDescent="0.2">
      <c r="A176" s="133"/>
      <c r="B176" s="151"/>
      <c r="C176" s="151"/>
      <c r="D176" s="151"/>
      <c r="E176" s="151"/>
      <c r="F176" s="151"/>
      <c r="G176" s="151"/>
    </row>
    <row r="177" spans="1:7" ht="10.5" customHeight="1" x14ac:dyDescent="0.2">
      <c r="A177" s="137" t="s">
        <v>19</v>
      </c>
      <c r="B177" s="131">
        <f t="shared" ref="B177:D177" si="19">SUM(B178:B184)</f>
        <v>1264</v>
      </c>
      <c r="C177" s="131">
        <f t="shared" si="19"/>
        <v>3198</v>
      </c>
      <c r="D177" s="131">
        <f t="shared" si="19"/>
        <v>195</v>
      </c>
      <c r="E177" s="131">
        <v>21588</v>
      </c>
      <c r="F177" s="131">
        <v>36119.00000000008</v>
      </c>
      <c r="G177" s="131">
        <v>759.99999999999829</v>
      </c>
    </row>
    <row r="178" spans="1:7" ht="10.5" customHeight="1" x14ac:dyDescent="0.2">
      <c r="A178" s="132" t="s">
        <v>74</v>
      </c>
      <c r="B178" s="24">
        <v>223</v>
      </c>
      <c r="C178" s="15">
        <v>83</v>
      </c>
      <c r="D178" s="15">
        <v>1</v>
      </c>
      <c r="E178" s="24">
        <v>3397</v>
      </c>
      <c r="F178" s="15">
        <v>555.99999999999909</v>
      </c>
      <c r="G178" s="15">
        <v>7.9999999999999982</v>
      </c>
    </row>
    <row r="179" spans="1:7" ht="10.5" customHeight="1" x14ac:dyDescent="0.2">
      <c r="A179" s="132" t="s">
        <v>73</v>
      </c>
      <c r="B179" s="24">
        <v>209</v>
      </c>
      <c r="C179" s="15">
        <v>266</v>
      </c>
      <c r="D179" s="15">
        <v>11.000000000000005</v>
      </c>
      <c r="E179" s="24">
        <v>3777</v>
      </c>
      <c r="F179" s="15">
        <v>2999.0000000000032</v>
      </c>
      <c r="G179" s="15">
        <v>34.000000000000064</v>
      </c>
    </row>
    <row r="180" spans="1:7" ht="10.5" customHeight="1" x14ac:dyDescent="0.2">
      <c r="A180" s="132" t="s">
        <v>72</v>
      </c>
      <c r="B180" s="24">
        <v>222</v>
      </c>
      <c r="C180" s="19">
        <v>491.00000000000023</v>
      </c>
      <c r="D180" s="19">
        <v>22</v>
      </c>
      <c r="E180" s="24">
        <v>4093</v>
      </c>
      <c r="F180" s="19">
        <v>5687.0000000000027</v>
      </c>
      <c r="G180" s="19">
        <v>53.000000000000192</v>
      </c>
    </row>
    <row r="181" spans="1:7" ht="10.5" customHeight="1" x14ac:dyDescent="0.2">
      <c r="A181" s="132" t="s">
        <v>71</v>
      </c>
      <c r="B181" s="24">
        <v>207</v>
      </c>
      <c r="C181" s="15">
        <v>623.99999999999989</v>
      </c>
      <c r="D181" s="15">
        <v>33.000000000000007</v>
      </c>
      <c r="E181" s="24">
        <v>3494</v>
      </c>
      <c r="F181" s="15">
        <v>7045.0000000000009</v>
      </c>
      <c r="G181" s="15">
        <v>110.00000000000021</v>
      </c>
    </row>
    <row r="182" spans="1:7" ht="10.5" customHeight="1" x14ac:dyDescent="0.2">
      <c r="A182" s="132" t="s">
        <v>70</v>
      </c>
      <c r="B182" s="24">
        <v>156</v>
      </c>
      <c r="C182" s="15">
        <v>558</v>
      </c>
      <c r="D182" s="15">
        <v>34</v>
      </c>
      <c r="E182" s="24">
        <v>2721</v>
      </c>
      <c r="F182" s="15">
        <v>7101.0000000000073</v>
      </c>
      <c r="G182" s="15">
        <v>145.00000000000003</v>
      </c>
    </row>
    <row r="183" spans="1:7" ht="10.5" customHeight="1" x14ac:dyDescent="0.2">
      <c r="A183" s="132" t="s">
        <v>69</v>
      </c>
      <c r="B183" s="24">
        <v>147</v>
      </c>
      <c r="C183" s="15">
        <v>643.99999999999989</v>
      </c>
      <c r="D183" s="15">
        <v>52</v>
      </c>
      <c r="E183" s="24">
        <v>2244</v>
      </c>
      <c r="F183" s="15">
        <v>6546.9999999999927</v>
      </c>
      <c r="G183" s="15">
        <v>164.00000000000014</v>
      </c>
    </row>
    <row r="184" spans="1:7" ht="10.5" customHeight="1" x14ac:dyDescent="0.2">
      <c r="A184" s="132" t="s">
        <v>68</v>
      </c>
      <c r="B184" s="24">
        <v>100</v>
      </c>
      <c r="C184" s="15">
        <v>531.99999999999989</v>
      </c>
      <c r="D184" s="15">
        <v>42.000000000000007</v>
      </c>
      <c r="E184" s="24">
        <v>1862</v>
      </c>
      <c r="F184" s="15">
        <v>6183.9999999999909</v>
      </c>
      <c r="G184" s="15">
        <v>246.00000000000045</v>
      </c>
    </row>
    <row r="185" spans="1:7" s="1" customFormat="1" ht="3.75" customHeight="1" thickBot="1" x14ac:dyDescent="0.3">
      <c r="A185" s="83"/>
      <c r="B185" s="74"/>
      <c r="C185" s="74"/>
      <c r="D185" s="75"/>
      <c r="E185" s="76"/>
      <c r="F185" s="76"/>
      <c r="G185" s="76"/>
    </row>
    <row r="186" spans="1:7" s="1" customFormat="1" ht="10.5" customHeight="1" x14ac:dyDescent="0.25">
      <c r="A186" s="48"/>
      <c r="B186" s="7"/>
      <c r="C186" s="7"/>
      <c r="D186" s="6"/>
      <c r="E186" s="28"/>
      <c r="F186" s="28"/>
      <c r="G186" s="7" t="s">
        <v>83</v>
      </c>
    </row>
    <row r="187" spans="1:7" ht="12.75" customHeight="1" x14ac:dyDescent="0.2">
      <c r="A187" s="222" t="str">
        <f>A$1</f>
        <v>CUADRO Nº 2.7</v>
      </c>
      <c r="B187" s="222"/>
      <c r="C187" s="222"/>
      <c r="D187" s="222"/>
      <c r="E187" s="222"/>
      <c r="F187" s="222"/>
      <c r="G187" s="222"/>
    </row>
    <row r="188" spans="1:7" ht="20.25" customHeight="1" x14ac:dyDescent="0.2">
      <c r="A188" s="226" t="str">
        <f>A$2</f>
        <v>PERÚ: HIJOS NACIDOS VIVOS E HIJOS FALLECIDOS DE LA MUJER INDÍGENA U ORIGINARIA DE LA AMAZONÍA, BLANCA, MESTIZA Y OTRA, SEGÚN GRUPO DE EDAD Y DEPARTAMENTO, 2017</v>
      </c>
      <c r="B188" s="226"/>
      <c r="C188" s="226"/>
      <c r="D188" s="226"/>
      <c r="E188" s="226"/>
      <c r="F188" s="226"/>
      <c r="G188" s="226"/>
    </row>
    <row r="189" spans="1:7" s="10" customFormat="1" ht="12.75" customHeight="1" x14ac:dyDescent="0.25">
      <c r="A189" s="215" t="str">
        <f>A$3</f>
        <v>(Cifras absolutas)</v>
      </c>
      <c r="B189" s="215"/>
      <c r="C189" s="215"/>
      <c r="D189" s="215"/>
      <c r="E189" s="215"/>
      <c r="F189" s="215"/>
      <c r="G189" s="215"/>
    </row>
    <row r="190" spans="1:7" s="10" customFormat="1" ht="10.5" customHeight="1" thickBot="1" x14ac:dyDescent="0.3">
      <c r="A190" s="47"/>
      <c r="B190" s="47"/>
      <c r="C190" s="47"/>
      <c r="D190" s="47"/>
      <c r="E190" s="47"/>
      <c r="F190" s="47"/>
      <c r="G190" s="47"/>
    </row>
    <row r="191" spans="1:7" ht="12.75" customHeight="1" thickBot="1" x14ac:dyDescent="0.25">
      <c r="A191" s="227" t="str">
        <f>A$5</f>
        <v>Grupo de edad / Departamento</v>
      </c>
      <c r="B191" s="210" t="str">
        <f>B$5</f>
        <v>Indígena u originaria de la Amazonía</v>
      </c>
      <c r="C191" s="211"/>
      <c r="D191" s="212"/>
      <c r="E191" s="210" t="s">
        <v>135</v>
      </c>
      <c r="F191" s="211"/>
      <c r="G191" s="212"/>
    </row>
    <row r="192" spans="1:7" ht="22.5" customHeight="1" thickBot="1" x14ac:dyDescent="0.25">
      <c r="A192" s="227"/>
      <c r="B192" s="152" t="str">
        <f>B$6</f>
        <v>Mujeres en edad fértil</v>
      </c>
      <c r="C192" s="127" t="str">
        <f t="shared" ref="C192:G192" si="20">C$6</f>
        <v>Hijos nacidos vivos</v>
      </c>
      <c r="D192" s="128" t="str">
        <f t="shared" si="20"/>
        <v>Hijos fallecidos</v>
      </c>
      <c r="E192" s="99" t="str">
        <f t="shared" si="20"/>
        <v>Mujeres en edad fértil</v>
      </c>
      <c r="F192" s="99" t="str">
        <f t="shared" si="20"/>
        <v>Hijos nacidos vivos</v>
      </c>
      <c r="G192" s="100" t="str">
        <f t="shared" si="20"/>
        <v>Hijos fallecidos</v>
      </c>
    </row>
    <row r="193" spans="1:7" ht="3.75" customHeight="1" x14ac:dyDescent="0.2">
      <c r="A193" s="129"/>
      <c r="B193" s="149"/>
      <c r="C193" s="149"/>
      <c r="D193" s="150"/>
      <c r="E193" s="150"/>
      <c r="F193" s="150"/>
      <c r="G193" s="150"/>
    </row>
    <row r="194" spans="1:7" ht="10.5" customHeight="1" x14ac:dyDescent="0.2">
      <c r="A194" s="130" t="s">
        <v>12</v>
      </c>
      <c r="B194" s="131">
        <f t="shared" ref="B194:D194" si="21">SUM(B195:B201)</f>
        <v>56</v>
      </c>
      <c r="C194" s="131">
        <f t="shared" si="21"/>
        <v>108</v>
      </c>
      <c r="D194" s="131">
        <f t="shared" si="21"/>
        <v>0</v>
      </c>
      <c r="E194" s="131">
        <v>28376</v>
      </c>
      <c r="F194" s="131">
        <v>33986.999999999913</v>
      </c>
      <c r="G194" s="131">
        <v>485.99999999999972</v>
      </c>
    </row>
    <row r="195" spans="1:7" ht="10.5" customHeight="1" x14ac:dyDescent="0.2">
      <c r="A195" s="132" t="s">
        <v>74</v>
      </c>
      <c r="B195" s="24">
        <v>7</v>
      </c>
      <c r="C195" s="15">
        <v>1</v>
      </c>
      <c r="D195" s="15">
        <v>0</v>
      </c>
      <c r="E195" s="24">
        <v>4626</v>
      </c>
      <c r="F195" s="15">
        <v>251.99999999999986</v>
      </c>
      <c r="G195" s="15">
        <v>0</v>
      </c>
    </row>
    <row r="196" spans="1:7" ht="10.5" customHeight="1" x14ac:dyDescent="0.2">
      <c r="A196" s="132" t="s">
        <v>73</v>
      </c>
      <c r="B196" s="24">
        <v>7</v>
      </c>
      <c r="C196" s="15">
        <v>4</v>
      </c>
      <c r="D196" s="15">
        <v>0</v>
      </c>
      <c r="E196" s="24">
        <v>4323</v>
      </c>
      <c r="F196" s="15">
        <v>1725.9999999999995</v>
      </c>
      <c r="G196" s="15">
        <v>10.000000000000007</v>
      </c>
    </row>
    <row r="197" spans="1:7" ht="10.5" customHeight="1" x14ac:dyDescent="0.2">
      <c r="A197" s="132" t="s">
        <v>72</v>
      </c>
      <c r="B197" s="24">
        <v>7</v>
      </c>
      <c r="C197" s="19">
        <v>12</v>
      </c>
      <c r="D197" s="19">
        <v>0</v>
      </c>
      <c r="E197" s="24">
        <v>3909</v>
      </c>
      <c r="F197" s="19">
        <v>3673.9999999999968</v>
      </c>
      <c r="G197" s="19">
        <v>28.999999999999968</v>
      </c>
    </row>
    <row r="198" spans="1:7" ht="10.5" customHeight="1" x14ac:dyDescent="0.2">
      <c r="A198" s="132" t="s">
        <v>71</v>
      </c>
      <c r="B198" s="24">
        <v>10</v>
      </c>
      <c r="C198" s="15">
        <v>19</v>
      </c>
      <c r="D198" s="15">
        <v>0</v>
      </c>
      <c r="E198" s="24">
        <v>4058</v>
      </c>
      <c r="F198" s="15">
        <v>5870.9999999999991</v>
      </c>
      <c r="G198" s="15">
        <v>73.000000000000043</v>
      </c>
    </row>
    <row r="199" spans="1:7" ht="10.5" customHeight="1" x14ac:dyDescent="0.2">
      <c r="A199" s="132" t="s">
        <v>70</v>
      </c>
      <c r="B199" s="24">
        <v>8</v>
      </c>
      <c r="C199" s="15">
        <v>26</v>
      </c>
      <c r="D199" s="15">
        <v>0</v>
      </c>
      <c r="E199" s="24">
        <v>4154</v>
      </c>
      <c r="F199" s="15">
        <v>7381.9999999999754</v>
      </c>
      <c r="G199" s="15">
        <v>104.99999999999999</v>
      </c>
    </row>
    <row r="200" spans="1:7" ht="10.5" customHeight="1" x14ac:dyDescent="0.2">
      <c r="A200" s="132" t="s">
        <v>69</v>
      </c>
      <c r="B200" s="24">
        <v>10</v>
      </c>
      <c r="C200" s="15">
        <v>27</v>
      </c>
      <c r="D200" s="15">
        <v>0</v>
      </c>
      <c r="E200" s="24">
        <v>3827</v>
      </c>
      <c r="F200" s="15">
        <v>7694.99999999998</v>
      </c>
      <c r="G200" s="15">
        <v>114.0000000000003</v>
      </c>
    </row>
    <row r="201" spans="1:7" ht="10.5" customHeight="1" x14ac:dyDescent="0.2">
      <c r="A201" s="132" t="s">
        <v>68</v>
      </c>
      <c r="B201" s="24">
        <v>7</v>
      </c>
      <c r="C201" s="15">
        <v>19</v>
      </c>
      <c r="D201" s="15">
        <v>0</v>
      </c>
      <c r="E201" s="24">
        <v>3479</v>
      </c>
      <c r="F201" s="15">
        <v>7386.9999999999827</v>
      </c>
      <c r="G201" s="15">
        <v>154.99999999999989</v>
      </c>
    </row>
    <row r="202" spans="1:7" ht="10.5" customHeight="1" x14ac:dyDescent="0.2">
      <c r="A202" s="133"/>
      <c r="B202" s="151"/>
      <c r="C202" s="151"/>
      <c r="D202" s="151"/>
      <c r="E202" s="151"/>
      <c r="F202" s="151"/>
      <c r="G202" s="151"/>
    </row>
    <row r="203" spans="1:7" ht="10.5" customHeight="1" x14ac:dyDescent="0.2">
      <c r="A203" s="130" t="s">
        <v>11</v>
      </c>
      <c r="B203" s="131">
        <f t="shared" ref="B203:D203" si="22">SUM(B204:B210)</f>
        <v>4352</v>
      </c>
      <c r="C203" s="131">
        <f t="shared" si="22"/>
        <v>12043.999999999995</v>
      </c>
      <c r="D203" s="131">
        <f t="shared" si="22"/>
        <v>363.00000000000023</v>
      </c>
      <c r="E203" s="131">
        <v>36863</v>
      </c>
      <c r="F203" s="131">
        <v>53254.999999999622</v>
      </c>
      <c r="G203" s="131">
        <v>1272.9999999999957</v>
      </c>
    </row>
    <row r="204" spans="1:7" ht="10.5" customHeight="1" x14ac:dyDescent="0.2">
      <c r="A204" s="132" t="s">
        <v>74</v>
      </c>
      <c r="B204" s="24">
        <v>768</v>
      </c>
      <c r="C204" s="15">
        <v>252.00000000000011</v>
      </c>
      <c r="D204" s="15">
        <v>3.0000000000000027</v>
      </c>
      <c r="E204" s="24">
        <v>5920</v>
      </c>
      <c r="F204" s="15">
        <v>767.00000000000068</v>
      </c>
      <c r="G204" s="15">
        <v>0</v>
      </c>
    </row>
    <row r="205" spans="1:7" ht="10.5" customHeight="1" x14ac:dyDescent="0.2">
      <c r="A205" s="132" t="s">
        <v>73</v>
      </c>
      <c r="B205" s="24">
        <v>724</v>
      </c>
      <c r="C205" s="15">
        <v>1065</v>
      </c>
      <c r="D205" s="15">
        <v>19.000000000000021</v>
      </c>
      <c r="E205" s="24">
        <v>6505</v>
      </c>
      <c r="F205" s="15">
        <v>3611.9999999999991</v>
      </c>
      <c r="G205" s="15">
        <v>31.000000000000014</v>
      </c>
    </row>
    <row r="206" spans="1:7" ht="10.5" customHeight="1" x14ac:dyDescent="0.2">
      <c r="A206" s="132" t="s">
        <v>72</v>
      </c>
      <c r="B206" s="24">
        <v>729</v>
      </c>
      <c r="C206" s="19">
        <v>1754.9999999999998</v>
      </c>
      <c r="D206" s="19">
        <v>39</v>
      </c>
      <c r="E206" s="24">
        <v>5955</v>
      </c>
      <c r="F206" s="19">
        <v>6745.0000000000045</v>
      </c>
      <c r="G206" s="19">
        <v>72.999999999999901</v>
      </c>
    </row>
    <row r="207" spans="1:7" ht="10.5" customHeight="1" x14ac:dyDescent="0.2">
      <c r="A207" s="132" t="s">
        <v>71</v>
      </c>
      <c r="B207" s="24">
        <v>666</v>
      </c>
      <c r="C207" s="15">
        <v>2265.9999999999986</v>
      </c>
      <c r="D207" s="15">
        <v>48.000000000000085</v>
      </c>
      <c r="E207" s="24">
        <v>5516</v>
      </c>
      <c r="F207" s="15">
        <v>9294.9999999999745</v>
      </c>
      <c r="G207" s="15">
        <v>150.00000000000051</v>
      </c>
    </row>
    <row r="208" spans="1:7" ht="10.5" customHeight="1" x14ac:dyDescent="0.2">
      <c r="A208" s="132" t="s">
        <v>70</v>
      </c>
      <c r="B208" s="24">
        <v>565</v>
      </c>
      <c r="C208" s="15">
        <v>2409.9999999999995</v>
      </c>
      <c r="D208" s="15">
        <v>62</v>
      </c>
      <c r="E208" s="24">
        <v>4994</v>
      </c>
      <c r="F208" s="15">
        <v>10915.999999999996</v>
      </c>
      <c r="G208" s="15">
        <v>231.99999999999966</v>
      </c>
    </row>
    <row r="209" spans="1:7" ht="10.5" customHeight="1" x14ac:dyDescent="0.2">
      <c r="A209" s="132" t="s">
        <v>69</v>
      </c>
      <c r="B209" s="24">
        <v>496</v>
      </c>
      <c r="C209" s="15">
        <v>2267.9999999999968</v>
      </c>
      <c r="D209" s="15">
        <v>88</v>
      </c>
      <c r="E209" s="24">
        <v>4164</v>
      </c>
      <c r="F209" s="15">
        <v>10783.000000000013</v>
      </c>
      <c r="G209" s="15">
        <v>320.00000000000045</v>
      </c>
    </row>
    <row r="210" spans="1:7" ht="10.5" customHeight="1" x14ac:dyDescent="0.2">
      <c r="A210" s="132" t="s">
        <v>68</v>
      </c>
      <c r="B210" s="24">
        <v>404</v>
      </c>
      <c r="C210" s="15">
        <v>2027.9999999999998</v>
      </c>
      <c r="D210" s="15">
        <v>104.00000000000009</v>
      </c>
      <c r="E210" s="24">
        <v>3809</v>
      </c>
      <c r="F210" s="15">
        <v>11136.999999999982</v>
      </c>
      <c r="G210" s="15">
        <v>467.00000000000114</v>
      </c>
    </row>
    <row r="211" spans="1:7" ht="10.5" customHeight="1" x14ac:dyDescent="0.2">
      <c r="A211" s="136"/>
      <c r="B211" s="151"/>
      <c r="C211" s="151"/>
      <c r="D211" s="151"/>
      <c r="E211" s="151"/>
      <c r="F211" s="151"/>
      <c r="G211" s="151"/>
    </row>
    <row r="212" spans="1:7" ht="10.5" customHeight="1" x14ac:dyDescent="0.2">
      <c r="A212" s="130" t="s">
        <v>10</v>
      </c>
      <c r="B212" s="131">
        <f t="shared" ref="B212:D212" si="23">SUM(B213:B219)</f>
        <v>162</v>
      </c>
      <c r="C212" s="131">
        <f t="shared" si="23"/>
        <v>256</v>
      </c>
      <c r="D212" s="131">
        <f t="shared" si="23"/>
        <v>3</v>
      </c>
      <c r="E212" s="131">
        <v>422020</v>
      </c>
      <c r="F212" s="131">
        <v>724958.99999998184</v>
      </c>
      <c r="G212" s="131">
        <v>20591.00000000032</v>
      </c>
    </row>
    <row r="213" spans="1:7" ht="10.5" customHeight="1" x14ac:dyDescent="0.2">
      <c r="A213" s="132" t="s">
        <v>74</v>
      </c>
      <c r="B213" s="24">
        <v>31</v>
      </c>
      <c r="C213" s="15">
        <v>2</v>
      </c>
      <c r="D213" s="15">
        <v>0</v>
      </c>
      <c r="E213" s="24">
        <v>69337</v>
      </c>
      <c r="F213" s="15">
        <v>8697.0000000000491</v>
      </c>
      <c r="G213" s="15">
        <v>76.000000000000057</v>
      </c>
    </row>
    <row r="214" spans="1:7" ht="10.5" customHeight="1" x14ac:dyDescent="0.2">
      <c r="A214" s="132" t="s">
        <v>73</v>
      </c>
      <c r="B214" s="24">
        <v>22</v>
      </c>
      <c r="C214" s="15">
        <v>25</v>
      </c>
      <c r="D214" s="15">
        <v>0</v>
      </c>
      <c r="E214" s="24">
        <v>68319</v>
      </c>
      <c r="F214" s="15">
        <v>47668.999999999898</v>
      </c>
      <c r="G214" s="15">
        <v>570.00000000000352</v>
      </c>
    </row>
    <row r="215" spans="1:7" ht="10.5" customHeight="1" x14ac:dyDescent="0.2">
      <c r="A215" s="132" t="s">
        <v>72</v>
      </c>
      <c r="B215" s="24">
        <v>27</v>
      </c>
      <c r="C215" s="19">
        <v>41</v>
      </c>
      <c r="D215" s="19">
        <v>3</v>
      </c>
      <c r="E215" s="24">
        <v>65003</v>
      </c>
      <c r="F215" s="19">
        <v>89283.00000000032</v>
      </c>
      <c r="G215" s="19">
        <v>1284.9999999999907</v>
      </c>
    </row>
    <row r="216" spans="1:7" ht="10.5" customHeight="1" x14ac:dyDescent="0.2">
      <c r="A216" s="132" t="s">
        <v>71</v>
      </c>
      <c r="B216" s="24">
        <v>30</v>
      </c>
      <c r="C216" s="15">
        <v>68</v>
      </c>
      <c r="D216" s="15">
        <v>0</v>
      </c>
      <c r="E216" s="24">
        <v>60827</v>
      </c>
      <c r="F216" s="15">
        <v>123886.00000000047</v>
      </c>
      <c r="G216" s="15">
        <v>2417.0000000000132</v>
      </c>
    </row>
    <row r="217" spans="1:7" ht="10.5" customHeight="1" x14ac:dyDescent="0.2">
      <c r="A217" s="132" t="s">
        <v>70</v>
      </c>
      <c r="B217" s="24">
        <v>25</v>
      </c>
      <c r="C217" s="15">
        <v>51.000000000000007</v>
      </c>
      <c r="D217" s="15">
        <v>0</v>
      </c>
      <c r="E217" s="24">
        <v>58202</v>
      </c>
      <c r="F217" s="15">
        <v>148684.00000000067</v>
      </c>
      <c r="G217" s="15">
        <v>3594.9999999999673</v>
      </c>
    </row>
    <row r="218" spans="1:7" ht="10.5" customHeight="1" x14ac:dyDescent="0.2">
      <c r="A218" s="132" t="s">
        <v>69</v>
      </c>
      <c r="B218" s="24">
        <v>17</v>
      </c>
      <c r="C218" s="15">
        <v>41</v>
      </c>
      <c r="D218" s="15">
        <v>0</v>
      </c>
      <c r="E218" s="24">
        <v>53322</v>
      </c>
      <c r="F218" s="15">
        <v>156600.00000000061</v>
      </c>
      <c r="G218" s="15">
        <v>5405.99999999998</v>
      </c>
    </row>
    <row r="219" spans="1:7" ht="10.5" customHeight="1" x14ac:dyDescent="0.2">
      <c r="A219" s="132" t="s">
        <v>68</v>
      </c>
      <c r="B219" s="24">
        <v>10</v>
      </c>
      <c r="C219" s="15">
        <v>28</v>
      </c>
      <c r="D219" s="15">
        <v>0</v>
      </c>
      <c r="E219" s="24">
        <v>47010</v>
      </c>
      <c r="F219" s="15">
        <v>150140.00000000093</v>
      </c>
      <c r="G219" s="15">
        <v>7241.9999999999991</v>
      </c>
    </row>
    <row r="220" spans="1:7" ht="10.5" customHeight="1" x14ac:dyDescent="0.2">
      <c r="A220" s="133"/>
      <c r="B220" s="151"/>
      <c r="C220" s="151"/>
      <c r="D220" s="151"/>
      <c r="E220" s="151"/>
      <c r="F220" s="151"/>
      <c r="G220" s="151"/>
    </row>
    <row r="221" spans="1:7" ht="10.5" customHeight="1" x14ac:dyDescent="0.2">
      <c r="A221" s="130" t="s">
        <v>9</v>
      </c>
      <c r="B221" s="131">
        <f t="shared" ref="B221:D221" si="24">SUM(B222:B228)</f>
        <v>53</v>
      </c>
      <c r="C221" s="131">
        <f t="shared" si="24"/>
        <v>67</v>
      </c>
      <c r="D221" s="131">
        <f t="shared" si="24"/>
        <v>0</v>
      </c>
      <c r="E221" s="131">
        <v>29778</v>
      </c>
      <c r="F221" s="131">
        <v>20277.999999999949</v>
      </c>
      <c r="G221" s="131">
        <v>494.00000000000136</v>
      </c>
    </row>
    <row r="222" spans="1:7" ht="10.5" customHeight="1" x14ac:dyDescent="0.2">
      <c r="A222" s="132" t="s">
        <v>74</v>
      </c>
      <c r="B222" s="24">
        <v>5</v>
      </c>
      <c r="C222" s="15"/>
      <c r="D222" s="15"/>
      <c r="E222" s="24">
        <v>7057</v>
      </c>
      <c r="F222" s="15">
        <v>366.0000000000004</v>
      </c>
      <c r="G222" s="15">
        <v>0</v>
      </c>
    </row>
    <row r="223" spans="1:7" ht="10.5" customHeight="1" x14ac:dyDescent="0.2">
      <c r="A223" s="132" t="s">
        <v>73</v>
      </c>
      <c r="B223" s="24">
        <v>12</v>
      </c>
      <c r="C223" s="15">
        <v>8</v>
      </c>
      <c r="D223" s="15">
        <v>0</v>
      </c>
      <c r="E223" s="24">
        <v>6264</v>
      </c>
      <c r="F223" s="15">
        <v>1335.9999999999977</v>
      </c>
      <c r="G223" s="15">
        <v>16.999999999999982</v>
      </c>
    </row>
    <row r="224" spans="1:7" ht="10.5" customHeight="1" x14ac:dyDescent="0.2">
      <c r="A224" s="132" t="s">
        <v>72</v>
      </c>
      <c r="B224" s="24">
        <v>13</v>
      </c>
      <c r="C224" s="19">
        <v>10</v>
      </c>
      <c r="D224" s="19">
        <v>0</v>
      </c>
      <c r="E224" s="24">
        <v>4690</v>
      </c>
      <c r="F224" s="19">
        <v>2600.0000000000032</v>
      </c>
      <c r="G224" s="19">
        <v>45</v>
      </c>
    </row>
    <row r="225" spans="1:7" ht="10.5" customHeight="1" x14ac:dyDescent="0.2">
      <c r="A225" s="132" t="s">
        <v>71</v>
      </c>
      <c r="B225" s="24">
        <v>8</v>
      </c>
      <c r="C225" s="15">
        <v>18</v>
      </c>
      <c r="D225" s="15">
        <v>0</v>
      </c>
      <c r="E225" s="24">
        <v>3706</v>
      </c>
      <c r="F225" s="15">
        <v>3623.9999999999986</v>
      </c>
      <c r="G225" s="15">
        <v>71.999999999999901</v>
      </c>
    </row>
    <row r="226" spans="1:7" ht="10.5" customHeight="1" x14ac:dyDescent="0.2">
      <c r="A226" s="132" t="s">
        <v>70</v>
      </c>
      <c r="B226" s="24">
        <v>8</v>
      </c>
      <c r="C226" s="15">
        <v>18</v>
      </c>
      <c r="D226" s="15">
        <v>0</v>
      </c>
      <c r="E226" s="24">
        <v>3112</v>
      </c>
      <c r="F226" s="15">
        <v>4110.0000000000018</v>
      </c>
      <c r="G226" s="15">
        <v>79.000000000000099</v>
      </c>
    </row>
    <row r="227" spans="1:7" ht="10.5" customHeight="1" x14ac:dyDescent="0.2">
      <c r="A227" s="132" t="s">
        <v>69</v>
      </c>
      <c r="B227" s="24">
        <v>5</v>
      </c>
      <c r="C227" s="15">
        <v>8</v>
      </c>
      <c r="D227" s="15">
        <v>0</v>
      </c>
      <c r="E227" s="24">
        <v>2617</v>
      </c>
      <c r="F227" s="15">
        <v>4042.9999999999945</v>
      </c>
      <c r="G227" s="15">
        <v>116.99999999999996</v>
      </c>
    </row>
    <row r="228" spans="1:7" ht="10.5" customHeight="1" x14ac:dyDescent="0.2">
      <c r="A228" s="132" t="s">
        <v>68</v>
      </c>
      <c r="B228" s="24">
        <v>2</v>
      </c>
      <c r="C228" s="15">
        <v>5</v>
      </c>
      <c r="D228" s="15">
        <v>0</v>
      </c>
      <c r="E228" s="24">
        <v>2332</v>
      </c>
      <c r="F228" s="15">
        <v>4199.0000000000045</v>
      </c>
      <c r="G228" s="15">
        <v>163.99999999999977</v>
      </c>
    </row>
    <row r="229" spans="1:7" ht="10.5" customHeight="1" x14ac:dyDescent="0.2">
      <c r="A229" s="133"/>
      <c r="B229" s="151"/>
      <c r="C229" s="151"/>
      <c r="D229" s="151"/>
      <c r="E229" s="151"/>
      <c r="F229" s="151"/>
      <c r="G229" s="151"/>
    </row>
    <row r="230" spans="1:7" ht="10.5" customHeight="1" x14ac:dyDescent="0.2">
      <c r="A230" s="130" t="s">
        <v>8</v>
      </c>
      <c r="B230" s="131">
        <f t="shared" ref="B230:D230" si="25">SUM(B231:B237)</f>
        <v>1764</v>
      </c>
      <c r="C230" s="131">
        <f t="shared" si="25"/>
        <v>4247.9999999999991</v>
      </c>
      <c r="D230" s="131">
        <f t="shared" si="25"/>
        <v>188</v>
      </c>
      <c r="E230" s="131">
        <v>183300</v>
      </c>
      <c r="F230" s="131">
        <v>347294.00000000105</v>
      </c>
      <c r="G230" s="131">
        <v>9045.9999999999727</v>
      </c>
    </row>
    <row r="231" spans="1:7" ht="10.5" customHeight="1" x14ac:dyDescent="0.2">
      <c r="A231" s="132" t="s">
        <v>74</v>
      </c>
      <c r="B231" s="24">
        <v>344</v>
      </c>
      <c r="C231" s="15">
        <v>128</v>
      </c>
      <c r="D231" s="15">
        <v>1.0000000000000002</v>
      </c>
      <c r="E231" s="24">
        <v>29590</v>
      </c>
      <c r="F231" s="15">
        <v>5821.9999999999927</v>
      </c>
      <c r="G231" s="15">
        <v>34.000000000000028</v>
      </c>
    </row>
    <row r="232" spans="1:7" ht="10.5" customHeight="1" x14ac:dyDescent="0.2">
      <c r="A232" s="132" t="s">
        <v>73</v>
      </c>
      <c r="B232" s="24">
        <v>332</v>
      </c>
      <c r="C232" s="15">
        <v>490.99999999999937</v>
      </c>
      <c r="D232" s="15">
        <v>16.000000000000011</v>
      </c>
      <c r="E232" s="24">
        <v>29487</v>
      </c>
      <c r="F232" s="15">
        <v>25526.000000000124</v>
      </c>
      <c r="G232" s="15">
        <v>284.9999999999992</v>
      </c>
    </row>
    <row r="233" spans="1:7" ht="10.5" customHeight="1" x14ac:dyDescent="0.2">
      <c r="A233" s="132" t="s">
        <v>72</v>
      </c>
      <c r="B233" s="24">
        <v>304</v>
      </c>
      <c r="C233" s="19">
        <v>690.00000000000023</v>
      </c>
      <c r="D233" s="19">
        <v>28</v>
      </c>
      <c r="E233" s="24">
        <v>29916</v>
      </c>
      <c r="F233" s="19">
        <v>45723.000000000284</v>
      </c>
      <c r="G233" s="19">
        <v>621.00000000000114</v>
      </c>
    </row>
    <row r="234" spans="1:7" ht="10.5" customHeight="1" x14ac:dyDescent="0.2">
      <c r="A234" s="132" t="s">
        <v>71</v>
      </c>
      <c r="B234" s="24">
        <v>245</v>
      </c>
      <c r="C234" s="15">
        <v>748.00000000000011</v>
      </c>
      <c r="D234" s="15">
        <v>20</v>
      </c>
      <c r="E234" s="24">
        <v>27975</v>
      </c>
      <c r="F234" s="15">
        <v>61466.999999999985</v>
      </c>
      <c r="G234" s="15">
        <v>1064.9999999999925</v>
      </c>
    </row>
    <row r="235" spans="1:7" ht="10.5" customHeight="1" x14ac:dyDescent="0.2">
      <c r="A235" s="132" t="s">
        <v>70</v>
      </c>
      <c r="B235" s="24">
        <v>222</v>
      </c>
      <c r="C235" s="15">
        <v>797.99999999999955</v>
      </c>
      <c r="D235" s="15">
        <v>32</v>
      </c>
      <c r="E235" s="24">
        <v>24918</v>
      </c>
      <c r="F235" s="15">
        <v>69105.999999999738</v>
      </c>
      <c r="G235" s="15">
        <v>1690.9999999999991</v>
      </c>
    </row>
    <row r="236" spans="1:7" ht="10.5" customHeight="1" x14ac:dyDescent="0.2">
      <c r="A236" s="132" t="s">
        <v>69</v>
      </c>
      <c r="B236" s="24">
        <v>160</v>
      </c>
      <c r="C236" s="15">
        <v>675</v>
      </c>
      <c r="D236" s="15">
        <v>36</v>
      </c>
      <c r="E236" s="24">
        <v>22216</v>
      </c>
      <c r="F236" s="15">
        <v>71476.000000000029</v>
      </c>
      <c r="G236" s="15">
        <v>2239.9999999999986</v>
      </c>
    </row>
    <row r="237" spans="1:7" ht="10.5" customHeight="1" x14ac:dyDescent="0.2">
      <c r="A237" s="132" t="s">
        <v>68</v>
      </c>
      <c r="B237" s="24">
        <v>157</v>
      </c>
      <c r="C237" s="15">
        <v>718.00000000000011</v>
      </c>
      <c r="D237" s="15">
        <v>55</v>
      </c>
      <c r="E237" s="24">
        <v>19198</v>
      </c>
      <c r="F237" s="15">
        <v>68174.000000000058</v>
      </c>
      <c r="G237" s="15">
        <v>3110.0000000000114</v>
      </c>
    </row>
    <row r="238" spans="1:7" ht="10.5" customHeight="1" x14ac:dyDescent="0.2">
      <c r="A238" s="133"/>
      <c r="B238" s="151"/>
      <c r="C238" s="151"/>
      <c r="D238" s="151"/>
      <c r="E238" s="151"/>
      <c r="F238" s="151"/>
      <c r="G238" s="151"/>
    </row>
    <row r="239" spans="1:7" ht="10.5" customHeight="1" x14ac:dyDescent="0.2">
      <c r="A239" s="130" t="s">
        <v>7</v>
      </c>
      <c r="B239" s="131">
        <f t="shared" ref="B239:D239" si="26">SUM(B240:B246)</f>
        <v>100</v>
      </c>
      <c r="C239" s="131">
        <f t="shared" si="26"/>
        <v>144.00000000000003</v>
      </c>
      <c r="D239" s="131">
        <f t="shared" si="26"/>
        <v>0</v>
      </c>
      <c r="E239" s="131">
        <v>53841</v>
      </c>
      <c r="F239" s="131">
        <v>56546.999999999978</v>
      </c>
      <c r="G239" s="131">
        <v>872.00000000000477</v>
      </c>
    </row>
    <row r="240" spans="1:7" ht="10.5" customHeight="1" x14ac:dyDescent="0.2">
      <c r="A240" s="132" t="s">
        <v>74</v>
      </c>
      <c r="B240" s="24">
        <v>11</v>
      </c>
      <c r="C240" s="15">
        <v>2</v>
      </c>
      <c r="D240" s="15">
        <v>0</v>
      </c>
      <c r="E240" s="24">
        <v>9274</v>
      </c>
      <c r="F240" s="15">
        <v>465.00000000000045</v>
      </c>
      <c r="G240" s="15">
        <v>1.9999999999999996</v>
      </c>
    </row>
    <row r="241" spans="1:7" ht="10.5" customHeight="1" x14ac:dyDescent="0.2">
      <c r="A241" s="132" t="s">
        <v>73</v>
      </c>
      <c r="B241" s="24">
        <v>22</v>
      </c>
      <c r="C241" s="15">
        <v>15</v>
      </c>
      <c r="D241" s="15">
        <v>0</v>
      </c>
      <c r="E241" s="24">
        <v>8890</v>
      </c>
      <c r="F241" s="15">
        <v>2890.9999999999973</v>
      </c>
      <c r="G241" s="15">
        <v>18.999999999999996</v>
      </c>
    </row>
    <row r="242" spans="1:7" ht="10.5" customHeight="1" x14ac:dyDescent="0.2">
      <c r="A242" s="132" t="s">
        <v>72</v>
      </c>
      <c r="B242" s="24">
        <v>18</v>
      </c>
      <c r="C242" s="19">
        <v>27.000000000000007</v>
      </c>
      <c r="D242" s="19">
        <v>0</v>
      </c>
      <c r="E242" s="24">
        <v>8076</v>
      </c>
      <c r="F242" s="19">
        <v>6326.0000000000182</v>
      </c>
      <c r="G242" s="19">
        <v>47.999999999999908</v>
      </c>
    </row>
    <row r="243" spans="1:7" ht="10.5" customHeight="1" x14ac:dyDescent="0.2">
      <c r="A243" s="132" t="s">
        <v>71</v>
      </c>
      <c r="B243" s="24">
        <v>25</v>
      </c>
      <c r="C243" s="15">
        <v>50.000000000000007</v>
      </c>
      <c r="D243" s="15">
        <v>0</v>
      </c>
      <c r="E243" s="24">
        <v>7304</v>
      </c>
      <c r="F243" s="15">
        <v>9261.0000000000218</v>
      </c>
      <c r="G243" s="15">
        <v>69.000000000000227</v>
      </c>
    </row>
    <row r="244" spans="1:7" ht="10.5" customHeight="1" x14ac:dyDescent="0.2">
      <c r="A244" s="132" t="s">
        <v>70</v>
      </c>
      <c r="B244" s="24">
        <v>13</v>
      </c>
      <c r="C244" s="15">
        <v>24.000000000000004</v>
      </c>
      <c r="D244" s="15">
        <v>0</v>
      </c>
      <c r="E244" s="24">
        <v>7513</v>
      </c>
      <c r="F244" s="15">
        <v>12340.999999999987</v>
      </c>
      <c r="G244" s="15">
        <v>158.9999999999996</v>
      </c>
    </row>
    <row r="245" spans="1:7" ht="10.5" customHeight="1" x14ac:dyDescent="0.2">
      <c r="A245" s="132" t="s">
        <v>69</v>
      </c>
      <c r="B245" s="24">
        <v>7</v>
      </c>
      <c r="C245" s="15">
        <v>13.000000000000002</v>
      </c>
      <c r="D245" s="15">
        <v>0</v>
      </c>
      <c r="E245" s="24">
        <v>6728</v>
      </c>
      <c r="F245" s="15">
        <v>12785.000000000004</v>
      </c>
      <c r="G245" s="15">
        <v>231.99999999999915</v>
      </c>
    </row>
    <row r="246" spans="1:7" ht="10.5" customHeight="1" x14ac:dyDescent="0.2">
      <c r="A246" s="132" t="s">
        <v>68</v>
      </c>
      <c r="B246" s="24">
        <v>4</v>
      </c>
      <c r="C246" s="15">
        <v>13</v>
      </c>
      <c r="D246" s="15">
        <v>0</v>
      </c>
      <c r="E246" s="24">
        <v>6056</v>
      </c>
      <c r="F246" s="15">
        <v>12478.00000000002</v>
      </c>
      <c r="G246" s="15">
        <v>343</v>
      </c>
    </row>
    <row r="247" spans="1:7" s="1" customFormat="1" ht="3.75" customHeight="1" thickBot="1" x14ac:dyDescent="0.3">
      <c r="A247" s="83"/>
      <c r="B247" s="74"/>
      <c r="C247" s="74"/>
      <c r="D247" s="75"/>
      <c r="E247" s="76"/>
      <c r="F247" s="76"/>
      <c r="G247" s="76"/>
    </row>
    <row r="248" spans="1:7" s="1" customFormat="1" ht="10.5" customHeight="1" x14ac:dyDescent="0.25">
      <c r="A248" s="48"/>
      <c r="B248" s="7"/>
      <c r="C248" s="7"/>
      <c r="D248" s="6"/>
      <c r="E248" s="28"/>
      <c r="F248" s="28"/>
      <c r="G248" s="7" t="s">
        <v>83</v>
      </c>
    </row>
    <row r="249" spans="1:7" ht="12.75" customHeight="1" x14ac:dyDescent="0.2">
      <c r="A249" s="222" t="str">
        <f>A$1</f>
        <v>CUADRO Nº 2.7</v>
      </c>
      <c r="B249" s="222"/>
      <c r="C249" s="222"/>
      <c r="D249" s="222"/>
      <c r="E249" s="222"/>
      <c r="F249" s="222"/>
      <c r="G249" s="222"/>
    </row>
    <row r="250" spans="1:7" ht="20.25" customHeight="1" x14ac:dyDescent="0.2">
      <c r="A250" s="226" t="str">
        <f>A$2</f>
        <v>PERÚ: HIJOS NACIDOS VIVOS E HIJOS FALLECIDOS DE LA MUJER INDÍGENA U ORIGINARIA DE LA AMAZONÍA, BLANCA, MESTIZA Y OTRA, SEGÚN GRUPO DE EDAD Y DEPARTAMENTO, 2017</v>
      </c>
      <c r="B250" s="226"/>
      <c r="C250" s="226"/>
      <c r="D250" s="226"/>
      <c r="E250" s="226"/>
      <c r="F250" s="226"/>
      <c r="G250" s="226"/>
    </row>
    <row r="251" spans="1:7" s="10" customFormat="1" ht="12.75" customHeight="1" x14ac:dyDescent="0.25">
      <c r="A251" s="215" t="str">
        <f>A$3</f>
        <v>(Cifras absolutas)</v>
      </c>
      <c r="B251" s="215"/>
      <c r="C251" s="215"/>
      <c r="D251" s="215"/>
      <c r="E251" s="215"/>
      <c r="F251" s="215"/>
      <c r="G251" s="215"/>
    </row>
    <row r="252" spans="1:7" s="10" customFormat="1" ht="10.5" customHeight="1" thickBot="1" x14ac:dyDescent="0.3">
      <c r="A252" s="47"/>
      <c r="B252" s="47"/>
      <c r="C252" s="47"/>
      <c r="D252" s="47"/>
      <c r="E252" s="47"/>
      <c r="F252" s="47"/>
      <c r="G252" s="6" t="s">
        <v>16</v>
      </c>
    </row>
    <row r="253" spans="1:7" ht="12.75" customHeight="1" thickBot="1" x14ac:dyDescent="0.25">
      <c r="A253" s="227" t="str">
        <f>A$5</f>
        <v>Grupo de edad / Departamento</v>
      </c>
      <c r="B253" s="210" t="str">
        <f>B$5</f>
        <v>Indígena u originaria de la Amazonía</v>
      </c>
      <c r="C253" s="211"/>
      <c r="D253" s="212"/>
      <c r="E253" s="210" t="s">
        <v>135</v>
      </c>
      <c r="F253" s="211"/>
      <c r="G253" s="212"/>
    </row>
    <row r="254" spans="1:7" ht="22.5" customHeight="1" thickBot="1" x14ac:dyDescent="0.25">
      <c r="A254" s="227"/>
      <c r="B254" s="152" t="str">
        <f>B$6</f>
        <v>Mujeres en edad fértil</v>
      </c>
      <c r="C254" s="127" t="str">
        <f t="shared" ref="C254:G254" si="27">C$6</f>
        <v>Hijos nacidos vivos</v>
      </c>
      <c r="D254" s="128" t="str">
        <f t="shared" si="27"/>
        <v>Hijos fallecidos</v>
      </c>
      <c r="E254" s="99" t="str">
        <f t="shared" si="27"/>
        <v>Mujeres en edad fértil</v>
      </c>
      <c r="F254" s="99" t="str">
        <f t="shared" si="27"/>
        <v>Hijos nacidos vivos</v>
      </c>
      <c r="G254" s="100" t="str">
        <f t="shared" si="27"/>
        <v>Hijos fallecidos</v>
      </c>
    </row>
    <row r="255" spans="1:7" ht="3.75" customHeight="1" x14ac:dyDescent="0.2">
      <c r="A255" s="129"/>
      <c r="B255" s="149"/>
      <c r="C255" s="149"/>
      <c r="D255" s="150"/>
      <c r="E255" s="150"/>
      <c r="F255" s="150"/>
      <c r="G255" s="150"/>
    </row>
    <row r="256" spans="1:7" ht="10.5" customHeight="1" x14ac:dyDescent="0.2">
      <c r="A256" s="130" t="s">
        <v>6</v>
      </c>
      <c r="B256" s="131">
        <f t="shared" ref="B256:D256" si="28">SUM(B257:B263)</f>
        <v>30</v>
      </c>
      <c r="C256" s="131">
        <f t="shared" si="28"/>
        <v>45</v>
      </c>
      <c r="D256" s="131">
        <f t="shared" si="28"/>
        <v>0</v>
      </c>
      <c r="E256" s="131">
        <v>50838</v>
      </c>
      <c r="F256" s="131">
        <v>84944.000000000451</v>
      </c>
      <c r="G256" s="131">
        <v>1737.9999999999982</v>
      </c>
    </row>
    <row r="257" spans="1:7" ht="10.5" customHeight="1" x14ac:dyDescent="0.2">
      <c r="A257" s="132" t="s">
        <v>74</v>
      </c>
      <c r="B257" s="24">
        <v>5</v>
      </c>
      <c r="C257" s="15">
        <v>0</v>
      </c>
      <c r="D257" s="15">
        <v>0</v>
      </c>
      <c r="E257" s="24">
        <v>7757</v>
      </c>
      <c r="F257" s="15">
        <v>1260.0000000000016</v>
      </c>
      <c r="G257" s="15">
        <v>5.0000000000000062</v>
      </c>
    </row>
    <row r="258" spans="1:7" ht="10.5" customHeight="1" x14ac:dyDescent="0.2">
      <c r="A258" s="132" t="s">
        <v>73</v>
      </c>
      <c r="B258" s="24">
        <v>4</v>
      </c>
      <c r="C258" s="15">
        <v>5</v>
      </c>
      <c r="D258" s="15">
        <v>0</v>
      </c>
      <c r="E258" s="24">
        <v>7983</v>
      </c>
      <c r="F258" s="15">
        <v>6020.9999999999982</v>
      </c>
      <c r="G258" s="15">
        <v>47.000000000000014</v>
      </c>
    </row>
    <row r="259" spans="1:7" ht="10.5" customHeight="1" x14ac:dyDescent="0.2">
      <c r="A259" s="132" t="s">
        <v>72</v>
      </c>
      <c r="B259" s="24">
        <v>7</v>
      </c>
      <c r="C259" s="19">
        <v>6</v>
      </c>
      <c r="D259" s="19">
        <v>0</v>
      </c>
      <c r="E259" s="24">
        <v>7947</v>
      </c>
      <c r="F259" s="19">
        <v>11102.00000000002</v>
      </c>
      <c r="G259" s="19">
        <v>130.00000000000003</v>
      </c>
    </row>
    <row r="260" spans="1:7" ht="10.5" customHeight="1" x14ac:dyDescent="0.2">
      <c r="A260" s="132" t="s">
        <v>71</v>
      </c>
      <c r="B260" s="24">
        <v>5</v>
      </c>
      <c r="C260" s="15">
        <v>19</v>
      </c>
      <c r="D260" s="15">
        <v>0</v>
      </c>
      <c r="E260" s="24">
        <v>7768</v>
      </c>
      <c r="F260" s="15">
        <v>15404.000000000005</v>
      </c>
      <c r="G260" s="15">
        <v>240.99999999999966</v>
      </c>
    </row>
    <row r="261" spans="1:7" ht="10.5" customHeight="1" x14ac:dyDescent="0.2">
      <c r="A261" s="132" t="s">
        <v>70</v>
      </c>
      <c r="B261" s="24">
        <v>7</v>
      </c>
      <c r="C261" s="15">
        <v>13.000000000000002</v>
      </c>
      <c r="D261" s="15">
        <v>0</v>
      </c>
      <c r="E261" s="24">
        <v>7263</v>
      </c>
      <c r="F261" s="15">
        <v>17547.999999999985</v>
      </c>
      <c r="G261" s="15">
        <v>305.99999999999949</v>
      </c>
    </row>
    <row r="262" spans="1:7" ht="10.5" customHeight="1" x14ac:dyDescent="0.2">
      <c r="A262" s="132" t="s">
        <v>69</v>
      </c>
      <c r="B262" s="24">
        <v>1</v>
      </c>
      <c r="C262" s="15">
        <v>2</v>
      </c>
      <c r="D262" s="15">
        <v>0</v>
      </c>
      <c r="E262" s="24">
        <v>6461</v>
      </c>
      <c r="F262" s="15">
        <v>17260.999999999978</v>
      </c>
      <c r="G262" s="15">
        <v>435.00000000000102</v>
      </c>
    </row>
    <row r="263" spans="1:7" ht="10.5" customHeight="1" x14ac:dyDescent="0.2">
      <c r="A263" s="132" t="s">
        <v>68</v>
      </c>
      <c r="B263" s="24">
        <v>1</v>
      </c>
      <c r="C263" s="15">
        <v>0</v>
      </c>
      <c r="D263" s="15">
        <v>0</v>
      </c>
      <c r="E263" s="24">
        <v>5659</v>
      </c>
      <c r="F263" s="15">
        <v>16347.999999999993</v>
      </c>
      <c r="G263" s="15">
        <v>573.99999999999932</v>
      </c>
    </row>
    <row r="264" spans="1:7" ht="10.5" customHeight="1" x14ac:dyDescent="0.2">
      <c r="A264" s="133"/>
      <c r="B264" s="151"/>
      <c r="C264" s="151"/>
      <c r="D264" s="151"/>
      <c r="E264" s="151"/>
      <c r="F264" s="151"/>
      <c r="G264" s="151"/>
    </row>
    <row r="265" spans="1:7" ht="10.5" customHeight="1" x14ac:dyDescent="0.2">
      <c r="A265" s="130" t="s">
        <v>5</v>
      </c>
      <c r="B265" s="131">
        <f t="shared" ref="B265:D265" si="29">SUM(B266:B272)</f>
        <v>13677</v>
      </c>
      <c r="C265" s="131">
        <f t="shared" si="29"/>
        <v>39609.999999999985</v>
      </c>
      <c r="D265" s="131">
        <f t="shared" si="29"/>
        <v>1944</v>
      </c>
      <c r="E265" s="131">
        <v>102479</v>
      </c>
      <c r="F265" s="131">
        <v>196627.99999999921</v>
      </c>
      <c r="G265" s="131">
        <v>5201.9999999999836</v>
      </c>
    </row>
    <row r="266" spans="1:7" ht="10.5" customHeight="1" x14ac:dyDescent="0.2">
      <c r="A266" s="132" t="s">
        <v>74</v>
      </c>
      <c r="B266" s="24">
        <v>2796</v>
      </c>
      <c r="C266" s="15">
        <v>1358.9999999999984</v>
      </c>
      <c r="D266" s="15">
        <v>29</v>
      </c>
      <c r="E266" s="24">
        <v>16442</v>
      </c>
      <c r="F266" s="15">
        <v>3534.9999999999964</v>
      </c>
      <c r="G266" s="15">
        <v>26.00000000000011</v>
      </c>
    </row>
    <row r="267" spans="1:7" ht="10.5" customHeight="1" x14ac:dyDescent="0.2">
      <c r="A267" s="132" t="s">
        <v>73</v>
      </c>
      <c r="B267" s="24">
        <v>2430</v>
      </c>
      <c r="C267" s="15">
        <v>4010.9999999999964</v>
      </c>
      <c r="D267" s="15">
        <v>116.00000000000003</v>
      </c>
      <c r="E267" s="24">
        <v>17662</v>
      </c>
      <c r="F267" s="15">
        <v>15745.000000000016</v>
      </c>
      <c r="G267" s="15">
        <v>225.00000000000023</v>
      </c>
    </row>
    <row r="268" spans="1:7" ht="10.5" customHeight="1" x14ac:dyDescent="0.2">
      <c r="A268" s="132" t="s">
        <v>72</v>
      </c>
      <c r="B268" s="24">
        <v>2389</v>
      </c>
      <c r="C268" s="19">
        <v>6769.0000000000064</v>
      </c>
      <c r="D268" s="19">
        <v>241</v>
      </c>
      <c r="E268" s="24">
        <v>17241</v>
      </c>
      <c r="F268" s="19">
        <v>27679.999999999927</v>
      </c>
      <c r="G268" s="19">
        <v>424.00000000000074</v>
      </c>
    </row>
    <row r="269" spans="1:7" ht="10.5" customHeight="1" x14ac:dyDescent="0.2">
      <c r="A269" s="132" t="s">
        <v>71</v>
      </c>
      <c r="B269" s="24">
        <v>1915</v>
      </c>
      <c r="C269" s="15">
        <v>7440.9999999999945</v>
      </c>
      <c r="D269" s="15">
        <v>289.00000000000017</v>
      </c>
      <c r="E269" s="24">
        <v>15660</v>
      </c>
      <c r="F269" s="15">
        <v>35779.000000000073</v>
      </c>
      <c r="G269" s="15">
        <v>697.99999999999886</v>
      </c>
    </row>
    <row r="270" spans="1:7" ht="10.5" customHeight="1" x14ac:dyDescent="0.2">
      <c r="A270" s="132" t="s">
        <v>70</v>
      </c>
      <c r="B270" s="24">
        <v>1566</v>
      </c>
      <c r="C270" s="15">
        <v>7004.0000000000036</v>
      </c>
      <c r="D270" s="15">
        <v>361.00000000000063</v>
      </c>
      <c r="E270" s="24">
        <v>13647</v>
      </c>
      <c r="F270" s="15">
        <v>38930.00000000016</v>
      </c>
      <c r="G270" s="15">
        <v>980.99999999999136</v>
      </c>
    </row>
    <row r="271" spans="1:7" ht="10.5" customHeight="1" x14ac:dyDescent="0.2">
      <c r="A271" s="132" t="s">
        <v>69</v>
      </c>
      <c r="B271" s="24">
        <v>1496</v>
      </c>
      <c r="C271" s="15">
        <v>7436.9999999999955</v>
      </c>
      <c r="D271" s="15">
        <v>465.99999999999915</v>
      </c>
      <c r="E271" s="24">
        <v>11701</v>
      </c>
      <c r="F271" s="15">
        <v>38703.000000000095</v>
      </c>
      <c r="G271" s="15">
        <v>1281.9999999999986</v>
      </c>
    </row>
    <row r="272" spans="1:7" ht="10.5" customHeight="1" x14ac:dyDescent="0.2">
      <c r="A272" s="132" t="s">
        <v>68</v>
      </c>
      <c r="B272" s="24">
        <v>1085</v>
      </c>
      <c r="C272" s="15">
        <v>5588.9999999999955</v>
      </c>
      <c r="D272" s="15">
        <v>442</v>
      </c>
      <c r="E272" s="24">
        <v>10126</v>
      </c>
      <c r="F272" s="15">
        <v>36256.000000000095</v>
      </c>
      <c r="G272" s="15">
        <v>1566.0000000000027</v>
      </c>
    </row>
    <row r="273" spans="1:7" ht="10.5" customHeight="1" x14ac:dyDescent="0.2">
      <c r="A273" s="133"/>
      <c r="B273" s="151"/>
      <c r="C273" s="151"/>
      <c r="D273" s="151"/>
      <c r="E273" s="151"/>
      <c r="F273" s="151"/>
      <c r="G273" s="151"/>
    </row>
    <row r="274" spans="1:7" ht="10.5" customHeight="1" x14ac:dyDescent="0.2">
      <c r="A274" s="138" t="s">
        <v>129</v>
      </c>
      <c r="B274" s="16">
        <f t="shared" ref="B274:D274" si="30">SUM(B275:B281)</f>
        <v>6206</v>
      </c>
      <c r="C274" s="16">
        <f t="shared" si="30"/>
        <v>8974.0000000000036</v>
      </c>
      <c r="D274" s="16">
        <f t="shared" si="30"/>
        <v>137.00000000000006</v>
      </c>
      <c r="E274" s="16">
        <v>1943482</v>
      </c>
      <c r="F274" s="16">
        <v>2225271.0000000312</v>
      </c>
      <c r="G274" s="16">
        <v>28061.000000000229</v>
      </c>
    </row>
    <row r="275" spans="1:7" ht="10.5" customHeight="1" x14ac:dyDescent="0.2">
      <c r="A275" s="132" t="s">
        <v>74</v>
      </c>
      <c r="B275" s="24">
        <v>800</v>
      </c>
      <c r="C275" s="15">
        <v>145</v>
      </c>
      <c r="D275" s="15">
        <v>0</v>
      </c>
      <c r="E275" s="24">
        <v>281135</v>
      </c>
      <c r="F275" s="15">
        <v>19241.999999999942</v>
      </c>
      <c r="G275" s="15">
        <v>58.000000000000128</v>
      </c>
    </row>
    <row r="276" spans="1:7" ht="10.5" customHeight="1" x14ac:dyDescent="0.2">
      <c r="A276" s="132" t="s">
        <v>73</v>
      </c>
      <c r="B276" s="24">
        <v>1162</v>
      </c>
      <c r="C276" s="15">
        <v>744.00000000000011</v>
      </c>
      <c r="D276" s="15">
        <v>8.0000000000000036</v>
      </c>
      <c r="E276" s="24">
        <v>318910</v>
      </c>
      <c r="F276" s="15">
        <v>123377.00000000178</v>
      </c>
      <c r="G276" s="15">
        <v>666.999999999995</v>
      </c>
    </row>
    <row r="277" spans="1:7" ht="10.5" customHeight="1" x14ac:dyDescent="0.2">
      <c r="A277" s="132" t="s">
        <v>72</v>
      </c>
      <c r="B277" s="24">
        <v>1146</v>
      </c>
      <c r="C277" s="19">
        <v>1342.9999999999998</v>
      </c>
      <c r="D277" s="19">
        <v>11.000000000000005</v>
      </c>
      <c r="E277" s="24">
        <v>307634</v>
      </c>
      <c r="F277" s="19">
        <v>253935.99999999886</v>
      </c>
      <c r="G277" s="19">
        <v>2029.0000000000223</v>
      </c>
    </row>
    <row r="278" spans="1:7" ht="10.5" customHeight="1" x14ac:dyDescent="0.2">
      <c r="A278" s="132" t="s">
        <v>71</v>
      </c>
      <c r="B278" s="24">
        <v>1051</v>
      </c>
      <c r="C278" s="15">
        <v>1810.0000000000002</v>
      </c>
      <c r="D278" s="15">
        <v>19.000000000000014</v>
      </c>
      <c r="E278" s="24">
        <v>284122</v>
      </c>
      <c r="F278" s="15">
        <v>374269.00000000244</v>
      </c>
      <c r="G278" s="15">
        <v>3555.0000000000214</v>
      </c>
    </row>
    <row r="279" spans="1:7" ht="10.5" customHeight="1" x14ac:dyDescent="0.2">
      <c r="A279" s="132" t="s">
        <v>70</v>
      </c>
      <c r="B279" s="24">
        <v>853</v>
      </c>
      <c r="C279" s="15">
        <v>1724.000000000002</v>
      </c>
      <c r="D279" s="15">
        <v>34.000000000000028</v>
      </c>
      <c r="E279" s="24">
        <v>272518</v>
      </c>
      <c r="F279" s="15">
        <v>467497.99999999523</v>
      </c>
      <c r="G279" s="15">
        <v>5283.9999999999818</v>
      </c>
    </row>
    <row r="280" spans="1:7" ht="10.5" customHeight="1" x14ac:dyDescent="0.2">
      <c r="A280" s="132" t="s">
        <v>69</v>
      </c>
      <c r="B280" s="24">
        <v>646</v>
      </c>
      <c r="C280" s="15">
        <v>1698.0000000000007</v>
      </c>
      <c r="D280" s="15">
        <v>29</v>
      </c>
      <c r="E280" s="24">
        <v>254299</v>
      </c>
      <c r="F280" s="15">
        <v>504079.9999999929</v>
      </c>
      <c r="G280" s="15">
        <v>7207.000000000101</v>
      </c>
    </row>
    <row r="281" spans="1:7" ht="10.5" customHeight="1" x14ac:dyDescent="0.2">
      <c r="A281" s="132" t="s">
        <v>68</v>
      </c>
      <c r="B281" s="24">
        <v>548</v>
      </c>
      <c r="C281" s="15">
        <v>1510.0000000000014</v>
      </c>
      <c r="D281" s="15">
        <v>36.000000000000007</v>
      </c>
      <c r="E281" s="24">
        <v>224864</v>
      </c>
      <c r="F281" s="15">
        <v>482868.99999999255</v>
      </c>
      <c r="G281" s="15">
        <v>9260.9999999998854</v>
      </c>
    </row>
    <row r="282" spans="1:7" ht="10.5" customHeight="1" x14ac:dyDescent="0.2">
      <c r="A282" s="133"/>
      <c r="B282" s="151"/>
      <c r="C282" s="151"/>
      <c r="D282" s="151"/>
      <c r="E282" s="151"/>
      <c r="F282" s="151"/>
      <c r="G282" s="151"/>
    </row>
    <row r="283" spans="1:7" ht="10.5" customHeight="1" x14ac:dyDescent="0.2">
      <c r="A283" s="139" t="s">
        <v>130</v>
      </c>
      <c r="B283" s="16">
        <f t="shared" ref="B283:D283" si="31">SUM(B284:B290)</f>
        <v>202</v>
      </c>
      <c r="C283" s="16">
        <f t="shared" si="31"/>
        <v>368</v>
      </c>
      <c r="D283" s="16">
        <f t="shared" si="31"/>
        <v>9</v>
      </c>
      <c r="E283" s="16">
        <v>184073</v>
      </c>
      <c r="F283" s="16">
        <v>269822.0000000014</v>
      </c>
      <c r="G283" s="16">
        <v>4531.0000000000346</v>
      </c>
    </row>
    <row r="284" spans="1:7" ht="10.5" customHeight="1" x14ac:dyDescent="0.2">
      <c r="A284" s="132" t="s">
        <v>74</v>
      </c>
      <c r="B284" s="24">
        <v>27</v>
      </c>
      <c r="C284" s="15">
        <v>7</v>
      </c>
      <c r="D284" s="15">
        <v>0</v>
      </c>
      <c r="E284" s="24">
        <v>29273</v>
      </c>
      <c r="F284" s="15">
        <v>3342.0000000000036</v>
      </c>
      <c r="G284" s="15">
        <v>14.000000000000053</v>
      </c>
    </row>
    <row r="285" spans="1:7" ht="10.5" customHeight="1" x14ac:dyDescent="0.2">
      <c r="A285" s="132" t="s">
        <v>73</v>
      </c>
      <c r="B285" s="24">
        <v>32</v>
      </c>
      <c r="C285" s="15">
        <v>38</v>
      </c>
      <c r="D285" s="15">
        <v>1</v>
      </c>
      <c r="E285" s="24">
        <v>30608</v>
      </c>
      <c r="F285" s="15">
        <v>17743.000000000058</v>
      </c>
      <c r="G285" s="15">
        <v>118.00000000000031</v>
      </c>
    </row>
    <row r="286" spans="1:7" ht="10.5" customHeight="1" x14ac:dyDescent="0.2">
      <c r="A286" s="132" t="s">
        <v>72</v>
      </c>
      <c r="B286" s="24">
        <v>49</v>
      </c>
      <c r="C286" s="19">
        <v>83</v>
      </c>
      <c r="D286" s="19">
        <v>1</v>
      </c>
      <c r="E286" s="24">
        <v>28206</v>
      </c>
      <c r="F286" s="19">
        <v>32962.999999999971</v>
      </c>
      <c r="G286" s="19">
        <v>316.00000000000148</v>
      </c>
    </row>
    <row r="287" spans="1:7" ht="10.5" customHeight="1" x14ac:dyDescent="0.2">
      <c r="A287" s="132" t="s">
        <v>71</v>
      </c>
      <c r="B287" s="24">
        <v>39</v>
      </c>
      <c r="C287" s="15">
        <v>95</v>
      </c>
      <c r="D287" s="15">
        <v>2.0000000000000004</v>
      </c>
      <c r="E287" s="24">
        <v>26482</v>
      </c>
      <c r="F287" s="15">
        <v>46426.000000000022</v>
      </c>
      <c r="G287" s="15">
        <v>519.00000000000068</v>
      </c>
    </row>
    <row r="288" spans="1:7" ht="10.5" customHeight="1" x14ac:dyDescent="0.2">
      <c r="A288" s="132" t="s">
        <v>70</v>
      </c>
      <c r="B288" s="24">
        <v>26</v>
      </c>
      <c r="C288" s="15">
        <v>56</v>
      </c>
      <c r="D288" s="15">
        <v>3</v>
      </c>
      <c r="E288" s="24">
        <v>24973</v>
      </c>
      <c r="F288" s="15">
        <v>54101.000000000211</v>
      </c>
      <c r="G288" s="15">
        <v>787.00000000000603</v>
      </c>
    </row>
    <row r="289" spans="1:7" ht="10.5" customHeight="1" x14ac:dyDescent="0.2">
      <c r="A289" s="132" t="s">
        <v>69</v>
      </c>
      <c r="B289" s="24">
        <v>19</v>
      </c>
      <c r="C289" s="15">
        <v>50.000000000000007</v>
      </c>
      <c r="D289" s="15">
        <v>2</v>
      </c>
      <c r="E289" s="24">
        <v>23587</v>
      </c>
      <c r="F289" s="15">
        <v>58147.00000000016</v>
      </c>
      <c r="G289" s="15">
        <v>1165.9999999999973</v>
      </c>
    </row>
    <row r="290" spans="1:7" ht="10.5" customHeight="1" x14ac:dyDescent="0.2">
      <c r="A290" s="132" t="s">
        <v>68</v>
      </c>
      <c r="B290" s="24">
        <v>10</v>
      </c>
      <c r="C290" s="15">
        <v>39</v>
      </c>
      <c r="D290" s="15">
        <v>0</v>
      </c>
      <c r="E290" s="24">
        <v>20944</v>
      </c>
      <c r="F290" s="15">
        <v>57100.000000000116</v>
      </c>
      <c r="G290" s="15">
        <v>1611.0000000000018</v>
      </c>
    </row>
    <row r="291" spans="1:7" ht="3.75" customHeight="1" thickBot="1" x14ac:dyDescent="0.3">
      <c r="A291" s="140"/>
      <c r="B291" s="141"/>
      <c r="C291" s="142"/>
      <c r="D291" s="142"/>
      <c r="E291" s="143"/>
      <c r="F291" s="142"/>
      <c r="G291" s="142"/>
    </row>
    <row r="292" spans="1:7" ht="3.75" customHeight="1" x14ac:dyDescent="0.25">
      <c r="A292" s="21"/>
      <c r="B292" s="19"/>
      <c r="C292" s="20"/>
      <c r="D292" s="20"/>
      <c r="E292" s="18"/>
      <c r="F292" s="20"/>
      <c r="G292" s="20"/>
    </row>
    <row r="293" spans="1:7" customFormat="1" ht="28.5" customHeight="1" x14ac:dyDescent="0.2">
      <c r="A293" s="221" t="s">
        <v>127</v>
      </c>
      <c r="B293" s="213"/>
      <c r="C293" s="213"/>
      <c r="D293" s="213"/>
      <c r="E293" s="213"/>
      <c r="F293" s="213"/>
      <c r="G293" s="213"/>
    </row>
    <row r="294" spans="1:7" customFormat="1" ht="13.5" x14ac:dyDescent="0.25">
      <c r="A294" s="49" t="s">
        <v>86</v>
      </c>
      <c r="B294" s="49"/>
      <c r="C294" s="49"/>
      <c r="D294" s="49"/>
      <c r="E294" s="144"/>
      <c r="F294" s="144"/>
      <c r="G294" s="144"/>
    </row>
    <row r="295" spans="1:7" customFormat="1" ht="13.5" x14ac:dyDescent="0.25">
      <c r="A295" s="49" t="s">
        <v>87</v>
      </c>
      <c r="B295" s="49"/>
      <c r="C295" s="49"/>
      <c r="D295" s="49"/>
      <c r="E295" s="145"/>
      <c r="F295" s="145"/>
      <c r="G295" s="145"/>
    </row>
    <row r="296" spans="1:7" customFormat="1" ht="25.5" customHeight="1" x14ac:dyDescent="0.25">
      <c r="A296" s="214" t="s">
        <v>118</v>
      </c>
      <c r="B296" s="213"/>
      <c r="C296" s="213"/>
      <c r="D296" s="213"/>
      <c r="E296" s="213"/>
      <c r="F296" s="213"/>
      <c r="G296" s="213"/>
    </row>
  </sheetData>
  <mergeCells count="32">
    <mergeCell ref="A249:G249"/>
    <mergeCell ref="A250:G250"/>
    <mergeCell ref="A251:G251"/>
    <mergeCell ref="A253:A254"/>
    <mergeCell ref="B253:D253"/>
    <mergeCell ref="E253:G253"/>
    <mergeCell ref="A188:G188"/>
    <mergeCell ref="A189:G189"/>
    <mergeCell ref="A191:A192"/>
    <mergeCell ref="B191:D191"/>
    <mergeCell ref="E191:G191"/>
    <mergeCell ref="A127:G127"/>
    <mergeCell ref="A129:A130"/>
    <mergeCell ref="B129:D129"/>
    <mergeCell ref="E129:G129"/>
    <mergeCell ref="A187:G187"/>
    <mergeCell ref="A293:G293"/>
    <mergeCell ref="A296:G296"/>
    <mergeCell ref="A1:G1"/>
    <mergeCell ref="A2:G2"/>
    <mergeCell ref="A5:A6"/>
    <mergeCell ref="B5:D5"/>
    <mergeCell ref="E5:G5"/>
    <mergeCell ref="A3:G3"/>
    <mergeCell ref="A63:G63"/>
    <mergeCell ref="A67:A68"/>
    <mergeCell ref="B67:D67"/>
    <mergeCell ref="E67:G67"/>
    <mergeCell ref="A64:G64"/>
    <mergeCell ref="A65:G65"/>
    <mergeCell ref="A125:G125"/>
    <mergeCell ref="A126:G126"/>
  </mergeCells>
  <pageMargins left="0.98425196850393704" right="0.98425196850393704" top="0.98425196850393704" bottom="0.98425196850393704" header="0.98425196850393704" footer="0.98425196850393704"/>
  <pageSetup paperSize="9" orientation="portrait" r:id="rId1"/>
  <rowBreaks count="4" manualBreakCount="4">
    <brk id="62" max="6" man="1"/>
    <brk id="124" max="6" man="1"/>
    <brk id="186" max="6" man="1"/>
    <brk id="248" max="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324"/>
  <sheetViews>
    <sheetView showWhiteSpace="0" view="pageBreakPreview" zoomScale="145" zoomScaleNormal="110" zoomScaleSheetLayoutView="145" workbookViewId="0">
      <selection sqref="A1:G1"/>
    </sheetView>
  </sheetViews>
  <sheetFormatPr baseColWidth="10" defaultRowHeight="11.25" x14ac:dyDescent="0.2"/>
  <cols>
    <col min="1" max="1" width="21.42578125" style="32" customWidth="1"/>
    <col min="2" max="7" width="10" style="34" customWidth="1"/>
    <col min="8" max="16384" width="11.42578125" style="32"/>
  </cols>
  <sheetData>
    <row r="1" spans="1:7" ht="12.75" customHeight="1" x14ac:dyDescent="0.2">
      <c r="A1" s="222" t="s">
        <v>143</v>
      </c>
      <c r="B1" s="222"/>
      <c r="C1" s="222"/>
      <c r="D1" s="222"/>
      <c r="E1" s="222"/>
      <c r="F1" s="222"/>
      <c r="G1" s="222"/>
    </row>
    <row r="2" spans="1:7" ht="31.5" customHeight="1" x14ac:dyDescent="0.2">
      <c r="A2" s="226" t="s">
        <v>126</v>
      </c>
      <c r="B2" s="226"/>
      <c r="C2" s="226"/>
      <c r="D2" s="226"/>
      <c r="E2" s="226"/>
      <c r="F2" s="226"/>
      <c r="G2" s="226"/>
    </row>
    <row r="3" spans="1:7" s="10" customFormat="1" ht="12.75" customHeight="1" x14ac:dyDescent="0.25">
      <c r="A3" s="215" t="s">
        <v>17</v>
      </c>
      <c r="B3" s="215"/>
      <c r="C3" s="215"/>
      <c r="D3" s="215"/>
      <c r="E3" s="215"/>
      <c r="F3" s="215"/>
      <c r="G3" s="215"/>
    </row>
    <row r="4" spans="1:7" s="10" customFormat="1" ht="10.5" customHeight="1" thickBot="1" x14ac:dyDescent="0.3">
      <c r="A4" s="47"/>
      <c r="B4" s="47"/>
      <c r="C4" s="47"/>
      <c r="D4" s="47"/>
      <c r="E4" s="47"/>
      <c r="F4" s="47"/>
      <c r="G4" s="47"/>
    </row>
    <row r="5" spans="1:7" ht="12.75" customHeight="1" thickBot="1" x14ac:dyDescent="0.25">
      <c r="A5" s="228" t="s">
        <v>93</v>
      </c>
      <c r="B5" s="210" t="s">
        <v>117</v>
      </c>
      <c r="C5" s="211"/>
      <c r="D5" s="212"/>
      <c r="E5" s="210" t="s">
        <v>116</v>
      </c>
      <c r="F5" s="211"/>
      <c r="G5" s="212"/>
    </row>
    <row r="6" spans="1:7" ht="12.75" customHeight="1" thickBot="1" x14ac:dyDescent="0.25">
      <c r="A6" s="229"/>
      <c r="B6" s="153" t="s">
        <v>15</v>
      </c>
      <c r="C6" s="154" t="s">
        <v>14</v>
      </c>
      <c r="D6" s="155" t="s">
        <v>13</v>
      </c>
      <c r="E6" s="156" t="s">
        <v>15</v>
      </c>
      <c r="F6" s="156" t="s">
        <v>14</v>
      </c>
      <c r="G6" s="157" t="s">
        <v>13</v>
      </c>
    </row>
    <row r="7" spans="1:7" ht="3.75" customHeight="1" x14ac:dyDescent="0.2">
      <c r="A7" s="129"/>
      <c r="B7" s="149"/>
      <c r="C7" s="149"/>
      <c r="D7" s="150"/>
      <c r="E7" s="150"/>
      <c r="F7" s="150"/>
      <c r="G7" s="150"/>
    </row>
    <row r="8" spans="1:7" ht="10.5" customHeight="1" x14ac:dyDescent="0.2">
      <c r="A8" s="130" t="s">
        <v>15</v>
      </c>
      <c r="B8" s="131">
        <v>187945</v>
      </c>
      <c r="C8" s="131">
        <v>92762</v>
      </c>
      <c r="D8" s="131">
        <v>95183</v>
      </c>
      <c r="E8" s="131">
        <v>15232984</v>
      </c>
      <c r="F8" s="131">
        <v>7368420</v>
      </c>
      <c r="G8" s="131">
        <v>7864564</v>
      </c>
    </row>
    <row r="9" spans="1:7" ht="10.5" customHeight="1" x14ac:dyDescent="0.2">
      <c r="A9" s="158" t="s">
        <v>67</v>
      </c>
      <c r="B9" s="15">
        <v>27074</v>
      </c>
      <c r="C9" s="15">
        <v>8851</v>
      </c>
      <c r="D9" s="15">
        <v>18223</v>
      </c>
      <c r="E9" s="15">
        <v>511549</v>
      </c>
      <c r="F9" s="15">
        <v>139045</v>
      </c>
      <c r="G9" s="15">
        <v>372504</v>
      </c>
    </row>
    <row r="10" spans="1:7" ht="10.5" customHeight="1" x14ac:dyDescent="0.2">
      <c r="A10" s="158" t="s">
        <v>66</v>
      </c>
      <c r="B10" s="15">
        <v>563</v>
      </c>
      <c r="C10" s="15">
        <v>216</v>
      </c>
      <c r="D10" s="15">
        <v>347</v>
      </c>
      <c r="E10" s="15">
        <v>24829</v>
      </c>
      <c r="F10" s="15">
        <v>10353</v>
      </c>
      <c r="G10" s="15">
        <v>14476</v>
      </c>
    </row>
    <row r="11" spans="1:7" ht="10.5" customHeight="1" x14ac:dyDescent="0.2">
      <c r="A11" s="158" t="s">
        <v>65</v>
      </c>
      <c r="B11" s="15">
        <v>66899</v>
      </c>
      <c r="C11" s="15">
        <v>30874</v>
      </c>
      <c r="D11" s="15">
        <v>36025</v>
      </c>
      <c r="E11" s="15">
        <v>2645157</v>
      </c>
      <c r="F11" s="15">
        <v>1171140</v>
      </c>
      <c r="G11" s="15">
        <v>1474017</v>
      </c>
    </row>
    <row r="12" spans="1:7" ht="10.5" customHeight="1" x14ac:dyDescent="0.2">
      <c r="A12" s="158" t="s">
        <v>64</v>
      </c>
      <c r="B12" s="15">
        <v>70009</v>
      </c>
      <c r="C12" s="15">
        <v>39306</v>
      </c>
      <c r="D12" s="15">
        <v>30703</v>
      </c>
      <c r="E12" s="15">
        <v>6297381</v>
      </c>
      <c r="F12" s="15">
        <v>3292003</v>
      </c>
      <c r="G12" s="15">
        <v>3005378</v>
      </c>
    </row>
    <row r="13" spans="1:7" ht="10.5" customHeight="1" x14ac:dyDescent="0.2">
      <c r="A13" s="158" t="s">
        <v>63</v>
      </c>
      <c r="B13" s="15">
        <v>148</v>
      </c>
      <c r="C13" s="15">
        <v>68</v>
      </c>
      <c r="D13" s="15">
        <v>80</v>
      </c>
      <c r="E13" s="15">
        <v>32614</v>
      </c>
      <c r="F13" s="15">
        <v>12784</v>
      </c>
      <c r="G13" s="15">
        <v>19830</v>
      </c>
    </row>
    <row r="14" spans="1:7" ht="10.5" customHeight="1" x14ac:dyDescent="0.2">
      <c r="A14" s="158" t="s">
        <v>62</v>
      </c>
      <c r="B14" s="15">
        <v>11360</v>
      </c>
      <c r="C14" s="15">
        <v>6630</v>
      </c>
      <c r="D14" s="15">
        <v>4730</v>
      </c>
      <c r="E14" s="15">
        <v>2361001</v>
      </c>
      <c r="F14" s="15">
        <v>1093739</v>
      </c>
      <c r="G14" s="15">
        <v>1267262</v>
      </c>
    </row>
    <row r="15" spans="1:7" ht="10.5" customHeight="1" x14ac:dyDescent="0.2">
      <c r="A15" s="158" t="s">
        <v>61</v>
      </c>
      <c r="B15" s="15">
        <v>11194</v>
      </c>
      <c r="C15" s="15">
        <v>6440</v>
      </c>
      <c r="D15" s="15">
        <v>4754</v>
      </c>
      <c r="E15" s="15">
        <v>3087716</v>
      </c>
      <c r="F15" s="15">
        <v>1503396</v>
      </c>
      <c r="G15" s="15">
        <v>1584320</v>
      </c>
    </row>
    <row r="16" spans="1:7" ht="10.5" customHeight="1" x14ac:dyDescent="0.2">
      <c r="A16" s="158" t="s">
        <v>60</v>
      </c>
      <c r="B16" s="15">
        <v>698</v>
      </c>
      <c r="C16" s="15">
        <v>377</v>
      </c>
      <c r="D16" s="15">
        <v>321</v>
      </c>
      <c r="E16" s="15">
        <v>272737</v>
      </c>
      <c r="F16" s="15">
        <v>145960</v>
      </c>
      <c r="G16" s="15">
        <v>126777</v>
      </c>
    </row>
    <row r="17" spans="1:7" ht="10.5" customHeight="1" x14ac:dyDescent="0.2">
      <c r="A17" s="159"/>
      <c r="B17" s="15"/>
      <c r="C17" s="15"/>
      <c r="D17" s="15"/>
      <c r="E17" s="15"/>
      <c r="F17" s="15"/>
      <c r="G17" s="15"/>
    </row>
    <row r="18" spans="1:7" ht="10.5" customHeight="1" x14ac:dyDescent="0.2">
      <c r="A18" s="130" t="s">
        <v>35</v>
      </c>
      <c r="B18" s="131">
        <v>30300</v>
      </c>
      <c r="C18" s="131">
        <v>14746</v>
      </c>
      <c r="D18" s="131">
        <v>15554</v>
      </c>
      <c r="E18" s="131">
        <v>209961</v>
      </c>
      <c r="F18" s="131">
        <v>105875</v>
      </c>
      <c r="G18" s="131">
        <v>104086</v>
      </c>
    </row>
    <row r="19" spans="1:7" ht="10.5" customHeight="1" x14ac:dyDescent="0.2">
      <c r="A19" s="158" t="s">
        <v>67</v>
      </c>
      <c r="B19" s="15">
        <v>4023</v>
      </c>
      <c r="C19" s="15">
        <v>931</v>
      </c>
      <c r="D19" s="15">
        <v>3092</v>
      </c>
      <c r="E19" s="15">
        <v>17006</v>
      </c>
      <c r="F19" s="15">
        <v>5033</v>
      </c>
      <c r="G19" s="15">
        <v>11973</v>
      </c>
    </row>
    <row r="20" spans="1:7" ht="10.5" customHeight="1" x14ac:dyDescent="0.2">
      <c r="A20" s="158" t="s">
        <v>66</v>
      </c>
      <c r="B20" s="15">
        <v>110</v>
      </c>
      <c r="C20" s="15">
        <v>30</v>
      </c>
      <c r="D20" s="15">
        <v>80</v>
      </c>
      <c r="E20" s="15">
        <v>600</v>
      </c>
      <c r="F20" s="15">
        <v>237</v>
      </c>
      <c r="G20" s="15">
        <v>363</v>
      </c>
    </row>
    <row r="21" spans="1:7" ht="10.5" customHeight="1" x14ac:dyDescent="0.2">
      <c r="A21" s="158" t="s">
        <v>65</v>
      </c>
      <c r="B21" s="15">
        <v>12230</v>
      </c>
      <c r="C21" s="15">
        <v>5176</v>
      </c>
      <c r="D21" s="15">
        <v>7054</v>
      </c>
      <c r="E21" s="15">
        <v>80255</v>
      </c>
      <c r="F21" s="15">
        <v>40714</v>
      </c>
      <c r="G21" s="15">
        <v>39541</v>
      </c>
    </row>
    <row r="22" spans="1:7" ht="10.5" customHeight="1" x14ac:dyDescent="0.2">
      <c r="A22" s="158" t="s">
        <v>64</v>
      </c>
      <c r="B22" s="15">
        <v>11316</v>
      </c>
      <c r="C22" s="15">
        <v>6860</v>
      </c>
      <c r="D22" s="15">
        <v>4456</v>
      </c>
      <c r="E22" s="15">
        <v>72515</v>
      </c>
      <c r="F22" s="15">
        <v>40633</v>
      </c>
      <c r="G22" s="15">
        <v>31882</v>
      </c>
    </row>
    <row r="23" spans="1:7" ht="10.5" customHeight="1" x14ac:dyDescent="0.2">
      <c r="A23" s="158" t="s">
        <v>63</v>
      </c>
      <c r="B23" s="15">
        <v>12</v>
      </c>
      <c r="C23" s="15">
        <v>4</v>
      </c>
      <c r="D23" s="15">
        <v>8</v>
      </c>
      <c r="E23" s="15">
        <v>142</v>
      </c>
      <c r="F23" s="15">
        <v>42</v>
      </c>
      <c r="G23" s="15">
        <v>100</v>
      </c>
    </row>
    <row r="24" spans="1:7" ht="10.5" customHeight="1" x14ac:dyDescent="0.2">
      <c r="A24" s="158" t="s">
        <v>62</v>
      </c>
      <c r="B24" s="15">
        <v>1322</v>
      </c>
      <c r="C24" s="15">
        <v>896</v>
      </c>
      <c r="D24" s="15">
        <v>426</v>
      </c>
      <c r="E24" s="15">
        <v>19379</v>
      </c>
      <c r="F24" s="15">
        <v>9081</v>
      </c>
      <c r="G24" s="15">
        <v>10298</v>
      </c>
    </row>
    <row r="25" spans="1:7" ht="10.5" customHeight="1" x14ac:dyDescent="0.2">
      <c r="A25" s="158" t="s">
        <v>61</v>
      </c>
      <c r="B25" s="15">
        <v>1253</v>
      </c>
      <c r="C25" s="15">
        <v>831</v>
      </c>
      <c r="D25" s="15">
        <v>422</v>
      </c>
      <c r="E25" s="15">
        <v>18526</v>
      </c>
      <c r="F25" s="15">
        <v>9271</v>
      </c>
      <c r="G25" s="15">
        <v>9255</v>
      </c>
    </row>
    <row r="26" spans="1:7" ht="10.5" customHeight="1" x14ac:dyDescent="0.2">
      <c r="A26" s="158" t="s">
        <v>60</v>
      </c>
      <c r="B26" s="15">
        <v>34</v>
      </c>
      <c r="C26" s="15">
        <v>18</v>
      </c>
      <c r="D26" s="15">
        <v>16</v>
      </c>
      <c r="E26" s="15">
        <v>1538</v>
      </c>
      <c r="F26" s="15">
        <v>864</v>
      </c>
      <c r="G26" s="15">
        <v>674</v>
      </c>
    </row>
    <row r="27" spans="1:7" ht="10.5" customHeight="1" x14ac:dyDescent="0.2">
      <c r="A27" s="158"/>
      <c r="B27" s="15"/>
      <c r="C27" s="15"/>
      <c r="D27" s="15"/>
      <c r="E27" s="15"/>
      <c r="F27" s="15"/>
      <c r="G27" s="15"/>
    </row>
    <row r="28" spans="1:7" ht="10.5" customHeight="1" x14ac:dyDescent="0.2">
      <c r="A28" s="130" t="s">
        <v>34</v>
      </c>
      <c r="B28" s="131">
        <v>205</v>
      </c>
      <c r="C28" s="131">
        <v>109</v>
      </c>
      <c r="D28" s="131">
        <v>96</v>
      </c>
      <c r="E28" s="131">
        <v>495439</v>
      </c>
      <c r="F28" s="131">
        <v>242624</v>
      </c>
      <c r="G28" s="131">
        <v>252815</v>
      </c>
    </row>
    <row r="29" spans="1:7" ht="10.5" customHeight="1" x14ac:dyDescent="0.2">
      <c r="A29" s="158" t="s">
        <v>67</v>
      </c>
      <c r="B29" s="15">
        <v>2</v>
      </c>
      <c r="C29" s="15">
        <v>1</v>
      </c>
      <c r="D29" s="15">
        <v>1</v>
      </c>
      <c r="E29" s="15">
        <v>26276</v>
      </c>
      <c r="F29" s="15">
        <v>6577</v>
      </c>
      <c r="G29" s="15">
        <v>19699</v>
      </c>
    </row>
    <row r="30" spans="1:7" ht="10.5" customHeight="1" x14ac:dyDescent="0.2">
      <c r="A30" s="158" t="s">
        <v>66</v>
      </c>
      <c r="B30" s="15">
        <v>0</v>
      </c>
      <c r="C30" s="15">
        <v>0</v>
      </c>
      <c r="D30" s="15">
        <v>0</v>
      </c>
      <c r="E30" s="15">
        <v>991</v>
      </c>
      <c r="F30" s="15">
        <v>424</v>
      </c>
      <c r="G30" s="15">
        <v>567</v>
      </c>
    </row>
    <row r="31" spans="1:7" ht="10.5" customHeight="1" x14ac:dyDescent="0.2">
      <c r="A31" s="158" t="s">
        <v>65</v>
      </c>
      <c r="B31" s="15">
        <v>27</v>
      </c>
      <c r="C31" s="15">
        <v>13</v>
      </c>
      <c r="D31" s="15">
        <v>14</v>
      </c>
      <c r="E31" s="15">
        <v>99889</v>
      </c>
      <c r="F31" s="15">
        <v>46510</v>
      </c>
      <c r="G31" s="15">
        <v>53379</v>
      </c>
    </row>
    <row r="32" spans="1:7" ht="10.5" customHeight="1" x14ac:dyDescent="0.2">
      <c r="A32" s="158" t="s">
        <v>64</v>
      </c>
      <c r="B32" s="15">
        <v>82</v>
      </c>
      <c r="C32" s="15">
        <v>39</v>
      </c>
      <c r="D32" s="15">
        <v>43</v>
      </c>
      <c r="E32" s="15">
        <v>206581</v>
      </c>
      <c r="F32" s="15">
        <v>109786</v>
      </c>
      <c r="G32" s="15">
        <v>96795</v>
      </c>
    </row>
    <row r="33" spans="1:7" ht="10.5" customHeight="1" x14ac:dyDescent="0.2">
      <c r="A33" s="158" t="s">
        <v>63</v>
      </c>
      <c r="B33" s="15">
        <v>1</v>
      </c>
      <c r="C33" s="15">
        <v>0</v>
      </c>
      <c r="D33" s="15">
        <v>1</v>
      </c>
      <c r="E33" s="15">
        <v>689</v>
      </c>
      <c r="F33" s="15">
        <v>292</v>
      </c>
      <c r="G33" s="15">
        <v>397</v>
      </c>
    </row>
    <row r="34" spans="1:7" ht="10.5" customHeight="1" x14ac:dyDescent="0.2">
      <c r="A34" s="158" t="s">
        <v>62</v>
      </c>
      <c r="B34" s="15">
        <v>40</v>
      </c>
      <c r="C34" s="15">
        <v>23</v>
      </c>
      <c r="D34" s="15">
        <v>17</v>
      </c>
      <c r="E34" s="15">
        <v>59441</v>
      </c>
      <c r="F34" s="15">
        <v>30158</v>
      </c>
      <c r="G34" s="15">
        <v>29283</v>
      </c>
    </row>
    <row r="35" spans="1:7" ht="10.5" customHeight="1" x14ac:dyDescent="0.2">
      <c r="A35" s="158" t="s">
        <v>61</v>
      </c>
      <c r="B35" s="15">
        <v>47</v>
      </c>
      <c r="C35" s="15">
        <v>29</v>
      </c>
      <c r="D35" s="15">
        <v>18</v>
      </c>
      <c r="E35" s="15">
        <v>95703</v>
      </c>
      <c r="F35" s="15">
        <v>45884</v>
      </c>
      <c r="G35" s="15">
        <v>49819</v>
      </c>
    </row>
    <row r="36" spans="1:7" ht="10.5" customHeight="1" x14ac:dyDescent="0.2">
      <c r="A36" s="158" t="s">
        <v>60</v>
      </c>
      <c r="B36" s="15">
        <v>6</v>
      </c>
      <c r="C36" s="15">
        <v>4</v>
      </c>
      <c r="D36" s="15">
        <v>2</v>
      </c>
      <c r="E36" s="15">
        <v>5869</v>
      </c>
      <c r="F36" s="15">
        <v>2993</v>
      </c>
      <c r="G36" s="15">
        <v>2876</v>
      </c>
    </row>
    <row r="37" spans="1:7" ht="10.5" customHeight="1" x14ac:dyDescent="0.2">
      <c r="A37" s="158"/>
      <c r="B37" s="15"/>
      <c r="C37" s="15"/>
      <c r="D37" s="15"/>
      <c r="E37" s="15"/>
      <c r="F37" s="15"/>
      <c r="G37" s="15"/>
    </row>
    <row r="38" spans="1:7" ht="10.5" customHeight="1" x14ac:dyDescent="0.2">
      <c r="A38" s="130" t="s">
        <v>33</v>
      </c>
      <c r="B38" s="131">
        <v>137</v>
      </c>
      <c r="C38" s="131">
        <v>67</v>
      </c>
      <c r="D38" s="131">
        <v>70</v>
      </c>
      <c r="E38" s="131">
        <v>36314</v>
      </c>
      <c r="F38" s="131">
        <v>19181</v>
      </c>
      <c r="G38" s="131">
        <v>17133</v>
      </c>
    </row>
    <row r="39" spans="1:7" ht="10.5" customHeight="1" x14ac:dyDescent="0.2">
      <c r="A39" s="158" t="s">
        <v>67</v>
      </c>
      <c r="B39" s="15">
        <v>6</v>
      </c>
      <c r="C39" s="15">
        <v>2</v>
      </c>
      <c r="D39" s="15">
        <v>4</v>
      </c>
      <c r="E39" s="15">
        <v>1659</v>
      </c>
      <c r="F39" s="15">
        <v>439</v>
      </c>
      <c r="G39" s="15">
        <v>1220</v>
      </c>
    </row>
    <row r="40" spans="1:7" ht="10.5" customHeight="1" x14ac:dyDescent="0.2">
      <c r="A40" s="158" t="s">
        <v>66</v>
      </c>
      <c r="B40" s="15">
        <v>0</v>
      </c>
      <c r="C40" s="15">
        <v>0</v>
      </c>
      <c r="D40" s="15">
        <v>0</v>
      </c>
      <c r="E40" s="15">
        <v>55</v>
      </c>
      <c r="F40" s="15">
        <v>17</v>
      </c>
      <c r="G40" s="15">
        <v>38</v>
      </c>
    </row>
    <row r="41" spans="1:7" ht="10.5" customHeight="1" x14ac:dyDescent="0.2">
      <c r="A41" s="158" t="s">
        <v>65</v>
      </c>
      <c r="B41" s="15">
        <v>14</v>
      </c>
      <c r="C41" s="15">
        <v>5</v>
      </c>
      <c r="D41" s="15">
        <v>9</v>
      </c>
      <c r="E41" s="15">
        <v>3930</v>
      </c>
      <c r="F41" s="15">
        <v>1852</v>
      </c>
      <c r="G41" s="15">
        <v>2078</v>
      </c>
    </row>
    <row r="42" spans="1:7" ht="10.5" customHeight="1" x14ac:dyDescent="0.2">
      <c r="A42" s="158" t="s">
        <v>64</v>
      </c>
      <c r="B42" s="15">
        <v>65</v>
      </c>
      <c r="C42" s="15">
        <v>31</v>
      </c>
      <c r="D42" s="15">
        <v>34</v>
      </c>
      <c r="E42" s="15">
        <v>12653</v>
      </c>
      <c r="F42" s="15">
        <v>7096</v>
      </c>
      <c r="G42" s="15">
        <v>5557</v>
      </c>
    </row>
    <row r="43" spans="1:7" ht="10.5" customHeight="1" x14ac:dyDescent="0.2">
      <c r="A43" s="158" t="s">
        <v>63</v>
      </c>
      <c r="B43" s="15">
        <v>0</v>
      </c>
      <c r="C43" s="15">
        <v>0</v>
      </c>
      <c r="D43" s="15">
        <v>0</v>
      </c>
      <c r="E43" s="15">
        <v>54</v>
      </c>
      <c r="F43" s="15">
        <v>24</v>
      </c>
      <c r="G43" s="15">
        <v>30</v>
      </c>
    </row>
    <row r="44" spans="1:7" ht="10.5" customHeight="1" x14ac:dyDescent="0.2">
      <c r="A44" s="158" t="s">
        <v>62</v>
      </c>
      <c r="B44" s="15">
        <v>16</v>
      </c>
      <c r="C44" s="15">
        <v>9</v>
      </c>
      <c r="D44" s="15">
        <v>7</v>
      </c>
      <c r="E44" s="15">
        <v>5478</v>
      </c>
      <c r="F44" s="15">
        <v>3202</v>
      </c>
      <c r="G44" s="15">
        <v>2276</v>
      </c>
    </row>
    <row r="45" spans="1:7" ht="10.5" customHeight="1" x14ac:dyDescent="0.2">
      <c r="A45" s="158" t="s">
        <v>61</v>
      </c>
      <c r="B45" s="15">
        <v>32</v>
      </c>
      <c r="C45" s="15">
        <v>16</v>
      </c>
      <c r="D45" s="15">
        <v>16</v>
      </c>
      <c r="E45" s="15">
        <v>11618</v>
      </c>
      <c r="F45" s="15">
        <v>6045</v>
      </c>
      <c r="G45" s="15">
        <v>5573</v>
      </c>
    </row>
    <row r="46" spans="1:7" ht="10.5" customHeight="1" x14ac:dyDescent="0.2">
      <c r="A46" s="158" t="s">
        <v>60</v>
      </c>
      <c r="B46" s="15">
        <v>4</v>
      </c>
      <c r="C46" s="15">
        <v>4</v>
      </c>
      <c r="D46" s="15">
        <v>0</v>
      </c>
      <c r="E46" s="15">
        <v>867</v>
      </c>
      <c r="F46" s="15">
        <v>506</v>
      </c>
      <c r="G46" s="15">
        <v>361</v>
      </c>
    </row>
    <row r="47" spans="1:7" ht="10.5" customHeight="1" x14ac:dyDescent="0.2">
      <c r="A47" s="158"/>
      <c r="B47" s="15"/>
      <c r="C47" s="15"/>
      <c r="D47" s="15"/>
      <c r="E47" s="15"/>
      <c r="F47" s="15"/>
      <c r="G47" s="15"/>
    </row>
    <row r="48" spans="1:7" ht="10.5" customHeight="1" x14ac:dyDescent="0.2">
      <c r="A48" s="130" t="s">
        <v>32</v>
      </c>
      <c r="B48" s="131">
        <v>603</v>
      </c>
      <c r="C48" s="131">
        <v>318</v>
      </c>
      <c r="D48" s="131">
        <v>285</v>
      </c>
      <c r="E48" s="131">
        <v>659381</v>
      </c>
      <c r="F48" s="131">
        <v>317839</v>
      </c>
      <c r="G48" s="131">
        <v>341542</v>
      </c>
    </row>
    <row r="49" spans="1:7" ht="10.5" customHeight="1" x14ac:dyDescent="0.2">
      <c r="A49" s="158" t="s">
        <v>67</v>
      </c>
      <c r="B49" s="15">
        <v>5</v>
      </c>
      <c r="C49" s="15">
        <v>0</v>
      </c>
      <c r="D49" s="15">
        <v>5</v>
      </c>
      <c r="E49" s="15">
        <v>7464</v>
      </c>
      <c r="F49" s="15">
        <v>2006</v>
      </c>
      <c r="G49" s="15">
        <v>5458</v>
      </c>
    </row>
    <row r="50" spans="1:7" ht="10.5" customHeight="1" x14ac:dyDescent="0.2">
      <c r="A50" s="158" t="s">
        <v>66</v>
      </c>
      <c r="B50" s="15">
        <v>0</v>
      </c>
      <c r="C50" s="15">
        <v>0</v>
      </c>
      <c r="D50" s="15">
        <v>0</v>
      </c>
      <c r="E50" s="15">
        <v>574</v>
      </c>
      <c r="F50" s="15">
        <v>227</v>
      </c>
      <c r="G50" s="15">
        <v>347</v>
      </c>
    </row>
    <row r="51" spans="1:7" ht="10.5" customHeight="1" x14ac:dyDescent="0.2">
      <c r="A51" s="158" t="s">
        <v>65</v>
      </c>
      <c r="B51" s="15">
        <v>45</v>
      </c>
      <c r="C51" s="15">
        <v>20</v>
      </c>
      <c r="D51" s="15">
        <v>25</v>
      </c>
      <c r="E51" s="15">
        <v>56963</v>
      </c>
      <c r="F51" s="15">
        <v>22748</v>
      </c>
      <c r="G51" s="15">
        <v>34215</v>
      </c>
    </row>
    <row r="52" spans="1:7" ht="10.5" customHeight="1" x14ac:dyDescent="0.2">
      <c r="A52" s="158" t="s">
        <v>64</v>
      </c>
      <c r="B52" s="15">
        <v>288</v>
      </c>
      <c r="C52" s="15">
        <v>156</v>
      </c>
      <c r="D52" s="15">
        <v>132</v>
      </c>
      <c r="E52" s="15">
        <v>242697</v>
      </c>
      <c r="F52" s="15">
        <v>125567</v>
      </c>
      <c r="G52" s="15">
        <v>117130</v>
      </c>
    </row>
    <row r="53" spans="1:7" ht="10.5" customHeight="1" x14ac:dyDescent="0.2">
      <c r="A53" s="158" t="s">
        <v>63</v>
      </c>
      <c r="B53" s="15">
        <v>4</v>
      </c>
      <c r="C53" s="15">
        <v>3</v>
      </c>
      <c r="D53" s="15">
        <v>1</v>
      </c>
      <c r="E53" s="15">
        <v>1645</v>
      </c>
      <c r="F53" s="15">
        <v>680</v>
      </c>
      <c r="G53" s="15">
        <v>965</v>
      </c>
    </row>
    <row r="54" spans="1:7" ht="10.5" customHeight="1" x14ac:dyDescent="0.2">
      <c r="A54" s="158" t="s">
        <v>62</v>
      </c>
      <c r="B54" s="15">
        <v>142</v>
      </c>
      <c r="C54" s="15">
        <v>83</v>
      </c>
      <c r="D54" s="15">
        <v>59</v>
      </c>
      <c r="E54" s="15">
        <v>137100</v>
      </c>
      <c r="F54" s="15">
        <v>64816</v>
      </c>
      <c r="G54" s="15">
        <v>72284</v>
      </c>
    </row>
    <row r="55" spans="1:7" ht="10.5" customHeight="1" x14ac:dyDescent="0.2">
      <c r="A55" s="158" t="s">
        <v>61</v>
      </c>
      <c r="B55" s="15">
        <v>111</v>
      </c>
      <c r="C55" s="15">
        <v>51</v>
      </c>
      <c r="D55" s="15">
        <v>60</v>
      </c>
      <c r="E55" s="15">
        <v>196312</v>
      </c>
      <c r="F55" s="15">
        <v>93326</v>
      </c>
      <c r="G55" s="15">
        <v>102986</v>
      </c>
    </row>
    <row r="56" spans="1:7" ht="10.5" customHeight="1" x14ac:dyDescent="0.2">
      <c r="A56" s="158" t="s">
        <v>60</v>
      </c>
      <c r="B56" s="15">
        <v>8</v>
      </c>
      <c r="C56" s="15">
        <v>5</v>
      </c>
      <c r="D56" s="15">
        <v>3</v>
      </c>
      <c r="E56" s="15">
        <v>16626</v>
      </c>
      <c r="F56" s="15">
        <v>8469</v>
      </c>
      <c r="G56" s="15">
        <v>8157</v>
      </c>
    </row>
    <row r="57" spans="1:7" ht="10.5" customHeight="1" x14ac:dyDescent="0.2">
      <c r="A57" s="158"/>
      <c r="B57" s="15"/>
      <c r="C57" s="15"/>
      <c r="D57" s="15"/>
      <c r="E57" s="15"/>
      <c r="F57" s="15"/>
      <c r="G57" s="15"/>
    </row>
    <row r="58" spans="1:7" ht="10.5" customHeight="1" x14ac:dyDescent="0.2">
      <c r="A58" s="130" t="s">
        <v>31</v>
      </c>
      <c r="B58" s="131">
        <v>290</v>
      </c>
      <c r="C58" s="131">
        <v>164</v>
      </c>
      <c r="D58" s="131">
        <v>126</v>
      </c>
      <c r="E58" s="131">
        <v>76441</v>
      </c>
      <c r="F58" s="131">
        <v>40212</v>
      </c>
      <c r="G58" s="131">
        <v>36229</v>
      </c>
    </row>
    <row r="59" spans="1:7" ht="10.5" customHeight="1" x14ac:dyDescent="0.2">
      <c r="A59" s="158" t="s">
        <v>67</v>
      </c>
      <c r="B59" s="15">
        <v>41</v>
      </c>
      <c r="C59" s="15">
        <v>16</v>
      </c>
      <c r="D59" s="15">
        <v>25</v>
      </c>
      <c r="E59" s="15">
        <v>3476</v>
      </c>
      <c r="F59" s="15">
        <v>826</v>
      </c>
      <c r="G59" s="15">
        <v>2650</v>
      </c>
    </row>
    <row r="60" spans="1:7" ht="10.5" customHeight="1" x14ac:dyDescent="0.2">
      <c r="A60" s="158" t="s">
        <v>66</v>
      </c>
      <c r="B60" s="15">
        <v>4</v>
      </c>
      <c r="C60" s="15">
        <v>2</v>
      </c>
      <c r="D60" s="15">
        <v>2</v>
      </c>
      <c r="E60" s="15">
        <v>116</v>
      </c>
      <c r="F60" s="15">
        <v>47</v>
      </c>
      <c r="G60" s="15">
        <v>69</v>
      </c>
    </row>
    <row r="61" spans="1:7" ht="10.5" customHeight="1" x14ac:dyDescent="0.2">
      <c r="A61" s="158" t="s">
        <v>65</v>
      </c>
      <c r="B61" s="15">
        <v>54</v>
      </c>
      <c r="C61" s="15">
        <v>28</v>
      </c>
      <c r="D61" s="15">
        <v>26</v>
      </c>
      <c r="E61" s="15">
        <v>10725</v>
      </c>
      <c r="F61" s="15">
        <v>5234</v>
      </c>
      <c r="G61" s="15">
        <v>5491</v>
      </c>
    </row>
    <row r="62" spans="1:7" ht="10.5" customHeight="1" x14ac:dyDescent="0.2">
      <c r="A62" s="158" t="s">
        <v>64</v>
      </c>
      <c r="B62" s="15">
        <v>119</v>
      </c>
      <c r="C62" s="15">
        <v>82</v>
      </c>
      <c r="D62" s="15">
        <v>37</v>
      </c>
      <c r="E62" s="15">
        <v>31850</v>
      </c>
      <c r="F62" s="15">
        <v>18364</v>
      </c>
      <c r="G62" s="15">
        <v>13486</v>
      </c>
    </row>
    <row r="63" spans="1:7" ht="10.5" customHeight="1" x14ac:dyDescent="0.2">
      <c r="A63" s="158" t="s">
        <v>63</v>
      </c>
      <c r="B63" s="15">
        <v>1</v>
      </c>
      <c r="C63" s="15">
        <v>0</v>
      </c>
      <c r="D63" s="15">
        <v>1</v>
      </c>
      <c r="E63" s="15">
        <v>93</v>
      </c>
      <c r="F63" s="15">
        <v>43</v>
      </c>
      <c r="G63" s="15">
        <v>50</v>
      </c>
    </row>
    <row r="64" spans="1:7" ht="10.5" customHeight="1" x14ac:dyDescent="0.2">
      <c r="A64" s="158" t="s">
        <v>62</v>
      </c>
      <c r="B64" s="15">
        <v>38</v>
      </c>
      <c r="C64" s="15">
        <v>18</v>
      </c>
      <c r="D64" s="15">
        <v>20</v>
      </c>
      <c r="E64" s="15">
        <v>10939</v>
      </c>
      <c r="F64" s="15">
        <v>5585</v>
      </c>
      <c r="G64" s="15">
        <v>5354</v>
      </c>
    </row>
    <row r="65" spans="1:7" ht="10.5" customHeight="1" x14ac:dyDescent="0.2">
      <c r="A65" s="158" t="s">
        <v>61</v>
      </c>
      <c r="B65" s="15">
        <v>33</v>
      </c>
      <c r="C65" s="15">
        <v>18</v>
      </c>
      <c r="D65" s="15">
        <v>15</v>
      </c>
      <c r="E65" s="15">
        <v>17776</v>
      </c>
      <c r="F65" s="15">
        <v>9295</v>
      </c>
      <c r="G65" s="15">
        <v>8481</v>
      </c>
    </row>
    <row r="66" spans="1:7" ht="10.5" customHeight="1" x14ac:dyDescent="0.2">
      <c r="A66" s="158" t="s">
        <v>60</v>
      </c>
      <c r="B66" s="15">
        <v>0</v>
      </c>
      <c r="C66" s="15">
        <v>0</v>
      </c>
      <c r="D66" s="15">
        <v>0</v>
      </c>
      <c r="E66" s="15">
        <v>1466</v>
      </c>
      <c r="F66" s="15">
        <v>818</v>
      </c>
      <c r="G66" s="15">
        <v>648</v>
      </c>
    </row>
    <row r="67" spans="1:7" s="1" customFormat="1" ht="3.75" customHeight="1" thickBot="1" x14ac:dyDescent="0.3">
      <c r="A67" s="83"/>
      <c r="B67" s="74"/>
      <c r="C67" s="74"/>
      <c r="D67" s="75"/>
      <c r="E67" s="76"/>
      <c r="F67" s="76"/>
      <c r="G67" s="76"/>
    </row>
    <row r="68" spans="1:7" s="1" customFormat="1" ht="10.5" customHeight="1" x14ac:dyDescent="0.25">
      <c r="A68" s="48"/>
      <c r="B68" s="7"/>
      <c r="C68" s="7"/>
      <c r="D68" s="6"/>
      <c r="E68" s="28"/>
      <c r="F68" s="28"/>
      <c r="G68" s="7" t="s">
        <v>83</v>
      </c>
    </row>
    <row r="69" spans="1:7" ht="12.75" customHeight="1" x14ac:dyDescent="0.2">
      <c r="A69" s="222" t="str">
        <f>A$1</f>
        <v>CUADRO Nº 2.8</v>
      </c>
      <c r="B69" s="222"/>
      <c r="C69" s="222"/>
      <c r="D69" s="222"/>
      <c r="E69" s="222"/>
      <c r="F69" s="222"/>
      <c r="G69" s="222"/>
    </row>
    <row r="70" spans="1:7" ht="20.25" customHeight="1" x14ac:dyDescent="0.2">
      <c r="A70" s="226" t="str">
        <f>A$2</f>
        <v>PERÚ: POBLACIÓN CENSADA INDÍGENA U ORIGINARIA DE LA AMAZONÍA, BLANCA(O), MESTIZA(O) Y OTRA(O) DE 15 Y MÁS AÑOS DE EDAD, POR SEXO, SEGÚN NIVEL DE EDUCACIÓN ALCANZADO Y DEPARTAMENTO, 2017</v>
      </c>
      <c r="B70" s="226"/>
      <c r="C70" s="226"/>
      <c r="D70" s="226"/>
      <c r="E70" s="226"/>
      <c r="F70" s="226"/>
      <c r="G70" s="226"/>
    </row>
    <row r="71" spans="1:7" s="10" customFormat="1" ht="12.75" customHeight="1" x14ac:dyDescent="0.25">
      <c r="A71" s="215" t="str">
        <f>A$3</f>
        <v>(Cifras absolutas)</v>
      </c>
      <c r="B71" s="215"/>
      <c r="C71" s="215"/>
      <c r="D71" s="215"/>
      <c r="E71" s="215"/>
      <c r="F71" s="215"/>
      <c r="G71" s="215"/>
    </row>
    <row r="72" spans="1:7" s="10" customFormat="1" ht="10.5" customHeight="1" thickBot="1" x14ac:dyDescent="0.3">
      <c r="A72" s="47"/>
      <c r="B72" s="47"/>
      <c r="C72" s="47"/>
      <c r="D72" s="47"/>
      <c r="E72" s="47"/>
      <c r="F72" s="47"/>
      <c r="G72" s="47"/>
    </row>
    <row r="73" spans="1:7" ht="12.75" customHeight="1" thickBot="1" x14ac:dyDescent="0.25">
      <c r="A73" s="228" t="str">
        <f>A$5</f>
        <v>Nivel de educación alcanzado / Departamento</v>
      </c>
      <c r="B73" s="210" t="str">
        <f>B$5</f>
        <v>Indígena u originaria de la Amazonía</v>
      </c>
      <c r="C73" s="211"/>
      <c r="D73" s="212"/>
      <c r="E73" s="210" t="s">
        <v>116</v>
      </c>
      <c r="F73" s="211"/>
      <c r="G73" s="212"/>
    </row>
    <row r="74" spans="1:7" ht="12.75" customHeight="1" thickBot="1" x14ac:dyDescent="0.25">
      <c r="A74" s="229"/>
      <c r="B74" s="156" t="str">
        <f>B$6</f>
        <v>Total</v>
      </c>
      <c r="C74" s="156" t="str">
        <f t="shared" ref="C74:G74" si="0">C$6</f>
        <v>Hombre</v>
      </c>
      <c r="D74" s="160" t="str">
        <f t="shared" si="0"/>
        <v>Mujer</v>
      </c>
      <c r="E74" s="153" t="str">
        <f t="shared" si="0"/>
        <v>Total</v>
      </c>
      <c r="F74" s="154" t="str">
        <f t="shared" si="0"/>
        <v>Hombre</v>
      </c>
      <c r="G74" s="155" t="str">
        <f t="shared" si="0"/>
        <v>Mujer</v>
      </c>
    </row>
    <row r="75" spans="1:7" ht="3.75" customHeight="1" x14ac:dyDescent="0.2">
      <c r="A75" s="129"/>
      <c r="B75" s="149"/>
      <c r="C75" s="149"/>
      <c r="D75" s="150"/>
      <c r="E75" s="150"/>
      <c r="F75" s="150"/>
      <c r="G75" s="150"/>
    </row>
    <row r="76" spans="1:7" ht="10.5" customHeight="1" x14ac:dyDescent="0.2">
      <c r="A76" s="130" t="s">
        <v>30</v>
      </c>
      <c r="B76" s="131">
        <v>1785</v>
      </c>
      <c r="C76" s="131">
        <v>864</v>
      </c>
      <c r="D76" s="131">
        <v>921</v>
      </c>
      <c r="E76" s="131">
        <v>826089</v>
      </c>
      <c r="F76" s="131">
        <v>398268</v>
      </c>
      <c r="G76" s="131">
        <v>427821</v>
      </c>
    </row>
    <row r="77" spans="1:7" ht="10.5" customHeight="1" x14ac:dyDescent="0.2">
      <c r="A77" s="158" t="s">
        <v>67</v>
      </c>
      <c r="B77" s="15">
        <v>193</v>
      </c>
      <c r="C77" s="15">
        <v>47</v>
      </c>
      <c r="D77" s="15">
        <v>146</v>
      </c>
      <c r="E77" s="15">
        <v>108133</v>
      </c>
      <c r="F77" s="15">
        <v>26788</v>
      </c>
      <c r="G77" s="15">
        <v>81345</v>
      </c>
    </row>
    <row r="78" spans="1:7" ht="10.5" customHeight="1" x14ac:dyDescent="0.2">
      <c r="A78" s="158" t="s">
        <v>66</v>
      </c>
      <c r="B78" s="15">
        <v>2</v>
      </c>
      <c r="C78" s="15">
        <v>2</v>
      </c>
      <c r="D78" s="15">
        <v>0</v>
      </c>
      <c r="E78" s="15">
        <v>2336</v>
      </c>
      <c r="F78" s="15">
        <v>874</v>
      </c>
      <c r="G78" s="15">
        <v>1462</v>
      </c>
    </row>
    <row r="79" spans="1:7" ht="10.5" customHeight="1" x14ac:dyDescent="0.2">
      <c r="A79" s="158" t="s">
        <v>65</v>
      </c>
      <c r="B79" s="15">
        <v>655</v>
      </c>
      <c r="C79" s="15">
        <v>305</v>
      </c>
      <c r="D79" s="15">
        <v>350</v>
      </c>
      <c r="E79" s="15">
        <v>308499</v>
      </c>
      <c r="F79" s="15">
        <v>151229</v>
      </c>
      <c r="G79" s="15">
        <v>157270</v>
      </c>
    </row>
    <row r="80" spans="1:7" ht="10.5" customHeight="1" x14ac:dyDescent="0.2">
      <c r="A80" s="158" t="s">
        <v>64</v>
      </c>
      <c r="B80" s="15">
        <v>590</v>
      </c>
      <c r="C80" s="15">
        <v>326</v>
      </c>
      <c r="D80" s="15">
        <v>264</v>
      </c>
      <c r="E80" s="15">
        <v>252434</v>
      </c>
      <c r="F80" s="15">
        <v>141988</v>
      </c>
      <c r="G80" s="15">
        <v>110446</v>
      </c>
    </row>
    <row r="81" spans="1:7" ht="10.5" customHeight="1" x14ac:dyDescent="0.2">
      <c r="A81" s="158" t="s">
        <v>63</v>
      </c>
      <c r="B81" s="15">
        <v>3</v>
      </c>
      <c r="C81" s="15">
        <v>2</v>
      </c>
      <c r="D81" s="15">
        <v>1</v>
      </c>
      <c r="E81" s="15">
        <v>532</v>
      </c>
      <c r="F81" s="15">
        <v>225</v>
      </c>
      <c r="G81" s="15">
        <v>307</v>
      </c>
    </row>
    <row r="82" spans="1:7" ht="10.5" customHeight="1" x14ac:dyDescent="0.2">
      <c r="A82" s="158" t="s">
        <v>62</v>
      </c>
      <c r="B82" s="15">
        <v>122</v>
      </c>
      <c r="C82" s="15">
        <v>60</v>
      </c>
      <c r="D82" s="15">
        <v>62</v>
      </c>
      <c r="E82" s="15">
        <v>67575</v>
      </c>
      <c r="F82" s="15">
        <v>32663</v>
      </c>
      <c r="G82" s="15">
        <v>34912</v>
      </c>
    </row>
    <row r="83" spans="1:7" ht="10.5" customHeight="1" x14ac:dyDescent="0.2">
      <c r="A83" s="158" t="s">
        <v>61</v>
      </c>
      <c r="B83" s="15">
        <v>203</v>
      </c>
      <c r="C83" s="15">
        <v>118</v>
      </c>
      <c r="D83" s="15">
        <v>85</v>
      </c>
      <c r="E83" s="15">
        <v>80501</v>
      </c>
      <c r="F83" s="15">
        <v>41101</v>
      </c>
      <c r="G83" s="15">
        <v>39400</v>
      </c>
    </row>
    <row r="84" spans="1:7" ht="10.5" customHeight="1" x14ac:dyDescent="0.2">
      <c r="A84" s="158" t="s">
        <v>60</v>
      </c>
      <c r="B84" s="15">
        <v>17</v>
      </c>
      <c r="C84" s="15">
        <v>4</v>
      </c>
      <c r="D84" s="15">
        <v>13</v>
      </c>
      <c r="E84" s="15">
        <v>6079</v>
      </c>
      <c r="F84" s="15">
        <v>3400</v>
      </c>
      <c r="G84" s="15">
        <v>2679</v>
      </c>
    </row>
    <row r="85" spans="1:7" ht="10.5" customHeight="1" x14ac:dyDescent="0.2">
      <c r="A85" s="158"/>
      <c r="B85" s="15"/>
      <c r="C85" s="15"/>
      <c r="D85" s="15"/>
      <c r="E85" s="15"/>
      <c r="F85" s="15"/>
      <c r="G85" s="15"/>
    </row>
    <row r="86" spans="1:7" ht="10.5" customHeight="1" x14ac:dyDescent="0.2">
      <c r="A86" s="134" t="s">
        <v>29</v>
      </c>
      <c r="B86" s="131">
        <v>1448</v>
      </c>
      <c r="C86" s="131">
        <v>665</v>
      </c>
      <c r="D86" s="131">
        <v>783</v>
      </c>
      <c r="E86" s="131">
        <v>629569</v>
      </c>
      <c r="F86" s="131">
        <v>301212</v>
      </c>
      <c r="G86" s="131">
        <v>328357</v>
      </c>
    </row>
    <row r="87" spans="1:7" ht="10.5" customHeight="1" x14ac:dyDescent="0.2">
      <c r="A87" s="158" t="s">
        <v>67</v>
      </c>
      <c r="B87" s="15">
        <v>6</v>
      </c>
      <c r="C87" s="15">
        <v>1</v>
      </c>
      <c r="D87" s="15">
        <v>5</v>
      </c>
      <c r="E87" s="15">
        <v>6000</v>
      </c>
      <c r="F87" s="15">
        <v>1723</v>
      </c>
      <c r="G87" s="15">
        <v>4277</v>
      </c>
    </row>
    <row r="88" spans="1:7" ht="10.5" customHeight="1" x14ac:dyDescent="0.2">
      <c r="A88" s="158" t="s">
        <v>66</v>
      </c>
      <c r="B88" s="15">
        <v>6</v>
      </c>
      <c r="C88" s="15">
        <v>1</v>
      </c>
      <c r="D88" s="15">
        <v>5</v>
      </c>
      <c r="E88" s="15">
        <v>794</v>
      </c>
      <c r="F88" s="15">
        <v>353</v>
      </c>
      <c r="G88" s="15">
        <v>441</v>
      </c>
    </row>
    <row r="89" spans="1:7" ht="10.5" customHeight="1" x14ac:dyDescent="0.2">
      <c r="A89" s="158" t="s">
        <v>65</v>
      </c>
      <c r="B89" s="15">
        <v>163</v>
      </c>
      <c r="C89" s="15">
        <v>42</v>
      </c>
      <c r="D89" s="15">
        <v>121</v>
      </c>
      <c r="E89" s="15">
        <v>62975</v>
      </c>
      <c r="F89" s="15">
        <v>23554</v>
      </c>
      <c r="G89" s="15">
        <v>39421</v>
      </c>
    </row>
    <row r="90" spans="1:7" ht="10.5" customHeight="1" x14ac:dyDescent="0.2">
      <c r="A90" s="158" t="s">
        <v>64</v>
      </c>
      <c r="B90" s="15">
        <v>718</v>
      </c>
      <c r="C90" s="15">
        <v>334</v>
      </c>
      <c r="D90" s="15">
        <v>384</v>
      </c>
      <c r="E90" s="15">
        <v>304500</v>
      </c>
      <c r="F90" s="15">
        <v>153849</v>
      </c>
      <c r="G90" s="15">
        <v>150651</v>
      </c>
    </row>
    <row r="91" spans="1:7" ht="10.5" customHeight="1" x14ac:dyDescent="0.2">
      <c r="A91" s="158" t="s">
        <v>63</v>
      </c>
      <c r="B91" s="15">
        <v>6</v>
      </c>
      <c r="C91" s="15">
        <v>1</v>
      </c>
      <c r="D91" s="15">
        <v>5</v>
      </c>
      <c r="E91" s="15">
        <v>2445</v>
      </c>
      <c r="F91" s="15">
        <v>886</v>
      </c>
      <c r="G91" s="15">
        <v>1559</v>
      </c>
    </row>
    <row r="92" spans="1:7" ht="10.5" customHeight="1" x14ac:dyDescent="0.2">
      <c r="A92" s="158" t="s">
        <v>62</v>
      </c>
      <c r="B92" s="15">
        <v>293</v>
      </c>
      <c r="C92" s="15">
        <v>148</v>
      </c>
      <c r="D92" s="15">
        <v>145</v>
      </c>
      <c r="E92" s="15">
        <v>128877</v>
      </c>
      <c r="F92" s="15">
        <v>59513</v>
      </c>
      <c r="G92" s="15">
        <v>69364</v>
      </c>
    </row>
    <row r="93" spans="1:7" ht="10.5" customHeight="1" x14ac:dyDescent="0.2">
      <c r="A93" s="158" t="s">
        <v>61</v>
      </c>
      <c r="B93" s="15">
        <v>228</v>
      </c>
      <c r="C93" s="15">
        <v>123</v>
      </c>
      <c r="D93" s="15">
        <v>105</v>
      </c>
      <c r="E93" s="15">
        <v>116960</v>
      </c>
      <c r="F93" s="15">
        <v>57749</v>
      </c>
      <c r="G93" s="15">
        <v>59211</v>
      </c>
    </row>
    <row r="94" spans="1:7" ht="10.5" customHeight="1" x14ac:dyDescent="0.2">
      <c r="A94" s="158" t="s">
        <v>60</v>
      </c>
      <c r="B94" s="15">
        <v>28</v>
      </c>
      <c r="C94" s="15">
        <v>15</v>
      </c>
      <c r="D94" s="15">
        <v>13</v>
      </c>
      <c r="E94" s="15">
        <v>7018</v>
      </c>
      <c r="F94" s="15">
        <v>3585</v>
      </c>
      <c r="G94" s="15">
        <v>3433</v>
      </c>
    </row>
    <row r="95" spans="1:7" ht="10.5" customHeight="1" x14ac:dyDescent="0.2">
      <c r="A95" s="158"/>
      <c r="B95" s="15"/>
      <c r="C95" s="15"/>
      <c r="D95" s="15"/>
      <c r="E95" s="15"/>
      <c r="F95" s="15"/>
      <c r="G95" s="15"/>
    </row>
    <row r="96" spans="1:7" ht="10.5" customHeight="1" x14ac:dyDescent="0.2">
      <c r="A96" s="130" t="s">
        <v>28</v>
      </c>
      <c r="B96" s="131">
        <v>6109</v>
      </c>
      <c r="C96" s="131">
        <v>3054</v>
      </c>
      <c r="D96" s="131">
        <v>3055</v>
      </c>
      <c r="E96" s="131">
        <v>207232</v>
      </c>
      <c r="F96" s="131">
        <v>104052</v>
      </c>
      <c r="G96" s="131">
        <v>103180</v>
      </c>
    </row>
    <row r="97" spans="1:7" ht="10.5" customHeight="1" x14ac:dyDescent="0.2">
      <c r="A97" s="158" t="s">
        <v>67</v>
      </c>
      <c r="B97" s="15">
        <v>1077</v>
      </c>
      <c r="C97" s="15">
        <v>428</v>
      </c>
      <c r="D97" s="15">
        <v>649</v>
      </c>
      <c r="E97" s="15">
        <v>5089</v>
      </c>
      <c r="F97" s="15">
        <v>1368</v>
      </c>
      <c r="G97" s="15">
        <v>3721</v>
      </c>
    </row>
    <row r="98" spans="1:7" ht="10.5" customHeight="1" x14ac:dyDescent="0.2">
      <c r="A98" s="158" t="s">
        <v>66</v>
      </c>
      <c r="B98" s="15">
        <v>24</v>
      </c>
      <c r="C98" s="15">
        <v>14</v>
      </c>
      <c r="D98" s="15">
        <v>10</v>
      </c>
      <c r="E98" s="15">
        <v>270</v>
      </c>
      <c r="F98" s="15">
        <v>126</v>
      </c>
      <c r="G98" s="15">
        <v>144</v>
      </c>
    </row>
    <row r="99" spans="1:7" ht="10.5" customHeight="1" x14ac:dyDescent="0.2">
      <c r="A99" s="158" t="s">
        <v>65</v>
      </c>
      <c r="B99" s="15">
        <v>1872</v>
      </c>
      <c r="C99" s="15">
        <v>922</v>
      </c>
      <c r="D99" s="15">
        <v>950</v>
      </c>
      <c r="E99" s="15">
        <v>19700</v>
      </c>
      <c r="F99" s="15">
        <v>8458</v>
      </c>
      <c r="G99" s="15">
        <v>11242</v>
      </c>
    </row>
    <row r="100" spans="1:7" ht="10.5" customHeight="1" x14ac:dyDescent="0.2">
      <c r="A100" s="158" t="s">
        <v>64</v>
      </c>
      <c r="B100" s="15">
        <v>2386</v>
      </c>
      <c r="C100" s="15">
        <v>1294</v>
      </c>
      <c r="D100" s="15">
        <v>1092</v>
      </c>
      <c r="E100" s="15">
        <v>79883</v>
      </c>
      <c r="F100" s="15">
        <v>42967</v>
      </c>
      <c r="G100" s="15">
        <v>36916</v>
      </c>
    </row>
    <row r="101" spans="1:7" ht="10.5" customHeight="1" x14ac:dyDescent="0.2">
      <c r="A101" s="158" t="s">
        <v>63</v>
      </c>
      <c r="B101" s="15">
        <v>7</v>
      </c>
      <c r="C101" s="15">
        <v>4</v>
      </c>
      <c r="D101" s="15">
        <v>3</v>
      </c>
      <c r="E101" s="15">
        <v>285</v>
      </c>
      <c r="F101" s="15">
        <v>128</v>
      </c>
      <c r="G101" s="15">
        <v>157</v>
      </c>
    </row>
    <row r="102" spans="1:7" ht="10.5" customHeight="1" x14ac:dyDescent="0.2">
      <c r="A102" s="158" t="s">
        <v>62</v>
      </c>
      <c r="B102" s="15">
        <v>428</v>
      </c>
      <c r="C102" s="15">
        <v>212</v>
      </c>
      <c r="D102" s="15">
        <v>216</v>
      </c>
      <c r="E102" s="15">
        <v>35670</v>
      </c>
      <c r="F102" s="15">
        <v>17590</v>
      </c>
      <c r="G102" s="15">
        <v>18080</v>
      </c>
    </row>
    <row r="103" spans="1:7" ht="10.5" customHeight="1" x14ac:dyDescent="0.2">
      <c r="A103" s="158" t="s">
        <v>61</v>
      </c>
      <c r="B103" s="15">
        <v>300</v>
      </c>
      <c r="C103" s="15">
        <v>172</v>
      </c>
      <c r="D103" s="15">
        <v>128</v>
      </c>
      <c r="E103" s="15">
        <v>60418</v>
      </c>
      <c r="F103" s="15">
        <v>30367</v>
      </c>
      <c r="G103" s="15">
        <v>30051</v>
      </c>
    </row>
    <row r="104" spans="1:7" ht="10.5" customHeight="1" x14ac:dyDescent="0.2">
      <c r="A104" s="158" t="s">
        <v>60</v>
      </c>
      <c r="B104" s="15">
        <v>15</v>
      </c>
      <c r="C104" s="15">
        <v>8</v>
      </c>
      <c r="D104" s="15">
        <v>7</v>
      </c>
      <c r="E104" s="15">
        <v>5917</v>
      </c>
      <c r="F104" s="15">
        <v>3048</v>
      </c>
      <c r="G104" s="15">
        <v>2869</v>
      </c>
    </row>
    <row r="105" spans="1:7" ht="10.5" customHeight="1" x14ac:dyDescent="0.2">
      <c r="A105" s="158"/>
      <c r="B105" s="15"/>
      <c r="C105" s="15"/>
      <c r="D105" s="15"/>
      <c r="E105" s="15"/>
      <c r="F105" s="15"/>
      <c r="G105" s="15"/>
    </row>
    <row r="106" spans="1:7" ht="10.5" customHeight="1" x14ac:dyDescent="0.2">
      <c r="A106" s="130" t="s">
        <v>27</v>
      </c>
      <c r="B106" s="131">
        <v>44</v>
      </c>
      <c r="C106" s="131">
        <v>24</v>
      </c>
      <c r="D106" s="131">
        <v>20</v>
      </c>
      <c r="E106" s="131">
        <v>45715</v>
      </c>
      <c r="F106" s="131">
        <v>23099</v>
      </c>
      <c r="G106" s="131">
        <v>22616</v>
      </c>
    </row>
    <row r="107" spans="1:7" ht="10.5" customHeight="1" x14ac:dyDescent="0.2">
      <c r="A107" s="158" t="s">
        <v>67</v>
      </c>
      <c r="B107" s="15">
        <v>0</v>
      </c>
      <c r="C107" s="15">
        <v>0</v>
      </c>
      <c r="D107" s="15">
        <v>0</v>
      </c>
      <c r="E107" s="15">
        <v>3231</v>
      </c>
      <c r="F107" s="15">
        <v>711</v>
      </c>
      <c r="G107" s="15">
        <v>2520</v>
      </c>
    </row>
    <row r="108" spans="1:7" ht="10.5" customHeight="1" x14ac:dyDescent="0.2">
      <c r="A108" s="158" t="s">
        <v>66</v>
      </c>
      <c r="B108" s="15">
        <v>0</v>
      </c>
      <c r="C108" s="15">
        <v>0</v>
      </c>
      <c r="D108" s="15">
        <v>0</v>
      </c>
      <c r="E108" s="15">
        <v>92</v>
      </c>
      <c r="F108" s="15">
        <v>33</v>
      </c>
      <c r="G108" s="15">
        <v>59</v>
      </c>
    </row>
    <row r="109" spans="1:7" ht="10.5" customHeight="1" x14ac:dyDescent="0.2">
      <c r="A109" s="158" t="s">
        <v>65</v>
      </c>
      <c r="B109" s="15">
        <v>8</v>
      </c>
      <c r="C109" s="15">
        <v>4</v>
      </c>
      <c r="D109" s="15">
        <v>4</v>
      </c>
      <c r="E109" s="15">
        <v>8661</v>
      </c>
      <c r="F109" s="15">
        <v>3995</v>
      </c>
      <c r="G109" s="15">
        <v>4666</v>
      </c>
    </row>
    <row r="110" spans="1:7" ht="10.5" customHeight="1" x14ac:dyDescent="0.2">
      <c r="A110" s="158" t="s">
        <v>64</v>
      </c>
      <c r="B110" s="15">
        <v>22</v>
      </c>
      <c r="C110" s="15">
        <v>10</v>
      </c>
      <c r="D110" s="15">
        <v>12</v>
      </c>
      <c r="E110" s="15">
        <v>18720</v>
      </c>
      <c r="F110" s="15">
        <v>10601</v>
      </c>
      <c r="G110" s="15">
        <v>8119</v>
      </c>
    </row>
    <row r="111" spans="1:7" ht="10.5" customHeight="1" x14ac:dyDescent="0.2">
      <c r="A111" s="158" t="s">
        <v>63</v>
      </c>
      <c r="B111" s="15">
        <v>0</v>
      </c>
      <c r="C111" s="15">
        <v>0</v>
      </c>
      <c r="D111" s="15">
        <v>0</v>
      </c>
      <c r="E111" s="15">
        <v>38</v>
      </c>
      <c r="F111" s="15">
        <v>22</v>
      </c>
      <c r="G111" s="15">
        <v>16</v>
      </c>
    </row>
    <row r="112" spans="1:7" ht="10.5" customHeight="1" x14ac:dyDescent="0.2">
      <c r="A112" s="158" t="s">
        <v>62</v>
      </c>
      <c r="B112" s="15">
        <v>6</v>
      </c>
      <c r="C112" s="15">
        <v>3</v>
      </c>
      <c r="D112" s="15">
        <v>3</v>
      </c>
      <c r="E112" s="15">
        <v>5972</v>
      </c>
      <c r="F112" s="15">
        <v>3138</v>
      </c>
      <c r="G112" s="15">
        <v>2834</v>
      </c>
    </row>
    <row r="113" spans="1:7" ht="10.5" customHeight="1" x14ac:dyDescent="0.2">
      <c r="A113" s="158" t="s">
        <v>61</v>
      </c>
      <c r="B113" s="15">
        <v>8</v>
      </c>
      <c r="C113" s="15">
        <v>7</v>
      </c>
      <c r="D113" s="15">
        <v>1</v>
      </c>
      <c r="E113" s="15">
        <v>8394</v>
      </c>
      <c r="F113" s="15">
        <v>4265</v>
      </c>
      <c r="G113" s="15">
        <v>4129</v>
      </c>
    </row>
    <row r="114" spans="1:7" ht="10.5" customHeight="1" x14ac:dyDescent="0.2">
      <c r="A114" s="158" t="s">
        <v>60</v>
      </c>
      <c r="B114" s="15">
        <v>0</v>
      </c>
      <c r="C114" s="15">
        <v>0</v>
      </c>
      <c r="D114" s="15">
        <v>0</v>
      </c>
      <c r="E114" s="15">
        <v>607</v>
      </c>
      <c r="F114" s="15">
        <v>334</v>
      </c>
      <c r="G114" s="15">
        <v>273</v>
      </c>
    </row>
    <row r="115" spans="1:7" ht="10.5" customHeight="1" x14ac:dyDescent="0.2">
      <c r="A115" s="158"/>
      <c r="B115" s="15"/>
      <c r="C115" s="15"/>
      <c r="D115" s="15"/>
      <c r="E115" s="15"/>
      <c r="F115" s="15"/>
      <c r="G115" s="15"/>
    </row>
    <row r="116" spans="1:7" ht="10.5" customHeight="1" x14ac:dyDescent="0.2">
      <c r="A116" s="130" t="s">
        <v>26</v>
      </c>
      <c r="B116" s="131">
        <v>1996</v>
      </c>
      <c r="C116" s="131">
        <v>985</v>
      </c>
      <c r="D116" s="131">
        <v>1011</v>
      </c>
      <c r="E116" s="131">
        <v>272333</v>
      </c>
      <c r="F116" s="131">
        <v>135094</v>
      </c>
      <c r="G116" s="131">
        <v>137239</v>
      </c>
    </row>
    <row r="117" spans="1:7" ht="10.5" customHeight="1" x14ac:dyDescent="0.2">
      <c r="A117" s="158" t="s">
        <v>67</v>
      </c>
      <c r="B117" s="15">
        <v>200</v>
      </c>
      <c r="C117" s="15">
        <v>50</v>
      </c>
      <c r="D117" s="15">
        <v>150</v>
      </c>
      <c r="E117" s="15">
        <v>18919</v>
      </c>
      <c r="F117" s="15">
        <v>5225</v>
      </c>
      <c r="G117" s="15">
        <v>13694</v>
      </c>
    </row>
    <row r="118" spans="1:7" ht="10.5" customHeight="1" x14ac:dyDescent="0.2">
      <c r="A118" s="158" t="s">
        <v>66</v>
      </c>
      <c r="B118" s="15">
        <v>7</v>
      </c>
      <c r="C118" s="15">
        <v>3</v>
      </c>
      <c r="D118" s="15">
        <v>4</v>
      </c>
      <c r="E118" s="15">
        <v>720</v>
      </c>
      <c r="F118" s="15">
        <v>325</v>
      </c>
      <c r="G118" s="15">
        <v>395</v>
      </c>
    </row>
    <row r="119" spans="1:7" ht="10.5" customHeight="1" x14ac:dyDescent="0.2">
      <c r="A119" s="158" t="s">
        <v>65</v>
      </c>
      <c r="B119" s="15">
        <v>810</v>
      </c>
      <c r="C119" s="15">
        <v>388</v>
      </c>
      <c r="D119" s="15">
        <v>422</v>
      </c>
      <c r="E119" s="15">
        <v>68770</v>
      </c>
      <c r="F119" s="15">
        <v>33579</v>
      </c>
      <c r="G119" s="15">
        <v>35191</v>
      </c>
    </row>
    <row r="120" spans="1:7" ht="10.5" customHeight="1" x14ac:dyDescent="0.2">
      <c r="A120" s="158" t="s">
        <v>64</v>
      </c>
      <c r="B120" s="15">
        <v>694</v>
      </c>
      <c r="C120" s="15">
        <v>394</v>
      </c>
      <c r="D120" s="15">
        <v>300</v>
      </c>
      <c r="E120" s="15">
        <v>105313</v>
      </c>
      <c r="F120" s="15">
        <v>57795</v>
      </c>
      <c r="G120" s="15">
        <v>47518</v>
      </c>
    </row>
    <row r="121" spans="1:7" ht="10.5" customHeight="1" x14ac:dyDescent="0.2">
      <c r="A121" s="158" t="s">
        <v>63</v>
      </c>
      <c r="B121" s="15">
        <v>2</v>
      </c>
      <c r="C121" s="15">
        <v>1</v>
      </c>
      <c r="D121" s="15">
        <v>1</v>
      </c>
      <c r="E121" s="15">
        <v>239</v>
      </c>
      <c r="F121" s="15">
        <v>88</v>
      </c>
      <c r="G121" s="15">
        <v>151</v>
      </c>
    </row>
    <row r="122" spans="1:7" ht="10.5" customHeight="1" x14ac:dyDescent="0.2">
      <c r="A122" s="158" t="s">
        <v>62</v>
      </c>
      <c r="B122" s="15">
        <v>92</v>
      </c>
      <c r="C122" s="15">
        <v>49</v>
      </c>
      <c r="D122" s="15">
        <v>43</v>
      </c>
      <c r="E122" s="15">
        <v>24360</v>
      </c>
      <c r="F122" s="15">
        <v>11651</v>
      </c>
      <c r="G122" s="15">
        <v>12709</v>
      </c>
    </row>
    <row r="123" spans="1:7" ht="10.5" customHeight="1" x14ac:dyDescent="0.2">
      <c r="A123" s="158" t="s">
        <v>61</v>
      </c>
      <c r="B123" s="15">
        <v>184</v>
      </c>
      <c r="C123" s="15">
        <v>95</v>
      </c>
      <c r="D123" s="15">
        <v>89</v>
      </c>
      <c r="E123" s="15">
        <v>50349</v>
      </c>
      <c r="F123" s="15">
        <v>24506</v>
      </c>
      <c r="G123" s="15">
        <v>25843</v>
      </c>
    </row>
    <row r="124" spans="1:7" ht="10.5" customHeight="1" x14ac:dyDescent="0.2">
      <c r="A124" s="158" t="s">
        <v>60</v>
      </c>
      <c r="B124" s="15">
        <v>7</v>
      </c>
      <c r="C124" s="15">
        <v>5</v>
      </c>
      <c r="D124" s="15">
        <v>2</v>
      </c>
      <c r="E124" s="15">
        <v>3663</v>
      </c>
      <c r="F124" s="15">
        <v>1925</v>
      </c>
      <c r="G124" s="15">
        <v>1738</v>
      </c>
    </row>
    <row r="125" spans="1:7" ht="10.5" customHeight="1" x14ac:dyDescent="0.2">
      <c r="A125" s="158"/>
      <c r="B125" s="15"/>
      <c r="C125" s="15"/>
      <c r="D125" s="15"/>
      <c r="E125" s="15"/>
      <c r="F125" s="15"/>
      <c r="G125" s="15"/>
    </row>
    <row r="126" spans="1:7" ht="10.5" customHeight="1" x14ac:dyDescent="0.2">
      <c r="A126" s="130" t="s">
        <v>25</v>
      </c>
      <c r="B126" s="131">
        <v>797</v>
      </c>
      <c r="C126" s="131">
        <v>431</v>
      </c>
      <c r="D126" s="131">
        <v>366</v>
      </c>
      <c r="E126" s="131">
        <v>493704</v>
      </c>
      <c r="F126" s="131">
        <v>239344</v>
      </c>
      <c r="G126" s="131">
        <v>254360</v>
      </c>
    </row>
    <row r="127" spans="1:7" ht="10.5" customHeight="1" x14ac:dyDescent="0.2">
      <c r="A127" s="158" t="s">
        <v>67</v>
      </c>
      <c r="B127" s="15">
        <v>9</v>
      </c>
      <c r="C127" s="15">
        <v>3</v>
      </c>
      <c r="D127" s="15">
        <v>6</v>
      </c>
      <c r="E127" s="15">
        <v>6684</v>
      </c>
      <c r="F127" s="15">
        <v>2060</v>
      </c>
      <c r="G127" s="15">
        <v>4624</v>
      </c>
    </row>
    <row r="128" spans="1:7" ht="10.5" customHeight="1" x14ac:dyDescent="0.2">
      <c r="A128" s="158" t="s">
        <v>66</v>
      </c>
      <c r="B128" s="15">
        <v>1</v>
      </c>
      <c r="C128" s="15">
        <v>1</v>
      </c>
      <c r="D128" s="15">
        <v>0</v>
      </c>
      <c r="E128" s="15">
        <v>580</v>
      </c>
      <c r="F128" s="15">
        <v>280</v>
      </c>
      <c r="G128" s="15">
        <v>300</v>
      </c>
    </row>
    <row r="129" spans="1:7" ht="10.5" customHeight="1" x14ac:dyDescent="0.2">
      <c r="A129" s="158" t="s">
        <v>65</v>
      </c>
      <c r="B129" s="15">
        <v>114</v>
      </c>
      <c r="C129" s="15">
        <v>52</v>
      </c>
      <c r="D129" s="15">
        <v>62</v>
      </c>
      <c r="E129" s="15">
        <v>59679</v>
      </c>
      <c r="F129" s="15">
        <v>24156</v>
      </c>
      <c r="G129" s="15">
        <v>35523</v>
      </c>
    </row>
    <row r="130" spans="1:7" ht="10.5" customHeight="1" x14ac:dyDescent="0.2">
      <c r="A130" s="158" t="s">
        <v>64</v>
      </c>
      <c r="B130" s="15">
        <v>471</v>
      </c>
      <c r="C130" s="15">
        <v>270</v>
      </c>
      <c r="D130" s="15">
        <v>201</v>
      </c>
      <c r="E130" s="15">
        <v>222699</v>
      </c>
      <c r="F130" s="15">
        <v>115735</v>
      </c>
      <c r="G130" s="15">
        <v>106964</v>
      </c>
    </row>
    <row r="131" spans="1:7" ht="10.5" customHeight="1" x14ac:dyDescent="0.2">
      <c r="A131" s="158" t="s">
        <v>63</v>
      </c>
      <c r="B131" s="15">
        <v>0</v>
      </c>
      <c r="C131" s="15">
        <v>0</v>
      </c>
      <c r="D131" s="15">
        <v>0</v>
      </c>
      <c r="E131" s="15">
        <v>691</v>
      </c>
      <c r="F131" s="15">
        <v>283</v>
      </c>
      <c r="G131" s="15">
        <v>408</v>
      </c>
    </row>
    <row r="132" spans="1:7" ht="10.5" customHeight="1" x14ac:dyDescent="0.2">
      <c r="A132" s="158" t="s">
        <v>62</v>
      </c>
      <c r="B132" s="15">
        <v>109</v>
      </c>
      <c r="C132" s="15">
        <v>49</v>
      </c>
      <c r="D132" s="15">
        <v>60</v>
      </c>
      <c r="E132" s="15">
        <v>91781</v>
      </c>
      <c r="F132" s="15">
        <v>42428</v>
      </c>
      <c r="G132" s="15">
        <v>49353</v>
      </c>
    </row>
    <row r="133" spans="1:7" ht="10.5" customHeight="1" x14ac:dyDescent="0.2">
      <c r="A133" s="158" t="s">
        <v>61</v>
      </c>
      <c r="B133" s="15">
        <v>89</v>
      </c>
      <c r="C133" s="15">
        <v>55</v>
      </c>
      <c r="D133" s="15">
        <v>34</v>
      </c>
      <c r="E133" s="15">
        <v>105462</v>
      </c>
      <c r="F133" s="15">
        <v>51325</v>
      </c>
      <c r="G133" s="15">
        <v>54137</v>
      </c>
    </row>
    <row r="134" spans="1:7" ht="10.5" customHeight="1" x14ac:dyDescent="0.2">
      <c r="A134" s="158" t="s">
        <v>60</v>
      </c>
      <c r="B134" s="15">
        <v>4</v>
      </c>
      <c r="C134" s="15">
        <v>1</v>
      </c>
      <c r="D134" s="15">
        <v>3</v>
      </c>
      <c r="E134" s="15">
        <v>6128</v>
      </c>
      <c r="F134" s="15">
        <v>3077</v>
      </c>
      <c r="G134" s="15">
        <v>3051</v>
      </c>
    </row>
    <row r="135" spans="1:7" s="1" customFormat="1" ht="3.75" customHeight="1" thickBot="1" x14ac:dyDescent="0.3">
      <c r="A135" s="83"/>
      <c r="B135" s="74"/>
      <c r="C135" s="74"/>
      <c r="D135" s="75"/>
      <c r="E135" s="76"/>
      <c r="F135" s="76"/>
      <c r="G135" s="76"/>
    </row>
    <row r="136" spans="1:7" s="1" customFormat="1" ht="10.5" customHeight="1" x14ac:dyDescent="0.25">
      <c r="A136" s="48"/>
      <c r="B136" s="7"/>
      <c r="C136" s="7"/>
      <c r="D136" s="6"/>
      <c r="E136" s="28"/>
      <c r="F136" s="28"/>
      <c r="G136" s="7" t="s">
        <v>83</v>
      </c>
    </row>
    <row r="137" spans="1:7" ht="12.75" customHeight="1" x14ac:dyDescent="0.2">
      <c r="A137" s="222" t="str">
        <f>A$1</f>
        <v>CUADRO Nº 2.8</v>
      </c>
      <c r="B137" s="222"/>
      <c r="C137" s="222"/>
      <c r="D137" s="222"/>
      <c r="E137" s="222"/>
      <c r="F137" s="222"/>
      <c r="G137" s="222"/>
    </row>
    <row r="138" spans="1:7" ht="20.25" customHeight="1" x14ac:dyDescent="0.2">
      <c r="A138" s="226" t="str">
        <f>A$2</f>
        <v>PERÚ: POBLACIÓN CENSADA INDÍGENA U ORIGINARIA DE LA AMAZONÍA, BLANCA(O), MESTIZA(O) Y OTRA(O) DE 15 Y MÁS AÑOS DE EDAD, POR SEXO, SEGÚN NIVEL DE EDUCACIÓN ALCANZADO Y DEPARTAMENTO, 2017</v>
      </c>
      <c r="B138" s="226"/>
      <c r="C138" s="226"/>
      <c r="D138" s="226"/>
      <c r="E138" s="226"/>
      <c r="F138" s="226"/>
      <c r="G138" s="226"/>
    </row>
    <row r="139" spans="1:7" s="10" customFormat="1" ht="12.75" customHeight="1" x14ac:dyDescent="0.25">
      <c r="A139" s="215" t="str">
        <f>A$3</f>
        <v>(Cifras absolutas)</v>
      </c>
      <c r="B139" s="215"/>
      <c r="C139" s="215"/>
      <c r="D139" s="215"/>
      <c r="E139" s="215"/>
      <c r="F139" s="215"/>
      <c r="G139" s="215"/>
    </row>
    <row r="140" spans="1:7" s="10" customFormat="1" ht="10.5" customHeight="1" thickBot="1" x14ac:dyDescent="0.3">
      <c r="A140" s="47"/>
      <c r="B140" s="47"/>
      <c r="C140" s="47"/>
      <c r="D140" s="47"/>
      <c r="E140" s="47"/>
      <c r="F140" s="47"/>
      <c r="G140" s="47"/>
    </row>
    <row r="141" spans="1:7" ht="12.75" customHeight="1" thickBot="1" x14ac:dyDescent="0.25">
      <c r="A141" s="228" t="str">
        <f>A$5</f>
        <v>Nivel de educación alcanzado / Departamento</v>
      </c>
      <c r="B141" s="210" t="str">
        <f>B$5</f>
        <v>Indígena u originaria de la Amazonía</v>
      </c>
      <c r="C141" s="211"/>
      <c r="D141" s="212"/>
      <c r="E141" s="210" t="s">
        <v>116</v>
      </c>
      <c r="F141" s="211"/>
      <c r="G141" s="212"/>
    </row>
    <row r="142" spans="1:7" ht="12.75" customHeight="1" thickBot="1" x14ac:dyDescent="0.25">
      <c r="A142" s="229"/>
      <c r="B142" s="156" t="str">
        <f>B$6</f>
        <v>Total</v>
      </c>
      <c r="C142" s="156" t="str">
        <f t="shared" ref="C142:G142" si="1">C$6</f>
        <v>Hombre</v>
      </c>
      <c r="D142" s="160" t="str">
        <f t="shared" si="1"/>
        <v>Mujer</v>
      </c>
      <c r="E142" s="153" t="str">
        <f t="shared" si="1"/>
        <v>Total</v>
      </c>
      <c r="F142" s="154" t="str">
        <f t="shared" si="1"/>
        <v>Hombre</v>
      </c>
      <c r="G142" s="155" t="str">
        <f t="shared" si="1"/>
        <v>Mujer</v>
      </c>
    </row>
    <row r="143" spans="1:7" ht="3.75" customHeight="1" x14ac:dyDescent="0.2">
      <c r="A143" s="129"/>
      <c r="B143" s="149"/>
      <c r="C143" s="149"/>
      <c r="D143" s="150"/>
      <c r="E143" s="150"/>
      <c r="F143" s="150"/>
      <c r="G143" s="150"/>
    </row>
    <row r="144" spans="1:7" ht="10.5" customHeight="1" x14ac:dyDescent="0.2">
      <c r="A144" s="130" t="s">
        <v>24</v>
      </c>
      <c r="B144" s="131">
        <v>31206</v>
      </c>
      <c r="C144" s="131">
        <v>15557</v>
      </c>
      <c r="D144" s="131">
        <v>15649</v>
      </c>
      <c r="E144" s="131">
        <v>535793</v>
      </c>
      <c r="F144" s="131">
        <v>258439</v>
      </c>
      <c r="G144" s="131">
        <v>277354</v>
      </c>
    </row>
    <row r="145" spans="1:7" ht="10.5" customHeight="1" x14ac:dyDescent="0.2">
      <c r="A145" s="158" t="s">
        <v>67</v>
      </c>
      <c r="B145" s="15">
        <v>5496</v>
      </c>
      <c r="C145" s="15">
        <v>1998</v>
      </c>
      <c r="D145" s="15">
        <v>3498</v>
      </c>
      <c r="E145" s="15">
        <v>18069</v>
      </c>
      <c r="F145" s="15">
        <v>3947</v>
      </c>
      <c r="G145" s="15">
        <v>14122</v>
      </c>
    </row>
    <row r="146" spans="1:7" ht="10.5" customHeight="1" x14ac:dyDescent="0.2">
      <c r="A146" s="158" t="s">
        <v>66</v>
      </c>
      <c r="B146" s="15">
        <v>117</v>
      </c>
      <c r="C146" s="15">
        <v>57</v>
      </c>
      <c r="D146" s="15">
        <v>60</v>
      </c>
      <c r="E146" s="15">
        <v>914</v>
      </c>
      <c r="F146" s="15">
        <v>309</v>
      </c>
      <c r="G146" s="15">
        <v>605</v>
      </c>
    </row>
    <row r="147" spans="1:7" ht="10.5" customHeight="1" x14ac:dyDescent="0.2">
      <c r="A147" s="158" t="s">
        <v>65</v>
      </c>
      <c r="B147" s="15">
        <v>12557</v>
      </c>
      <c r="C147" s="15">
        <v>6209</v>
      </c>
      <c r="D147" s="15">
        <v>6348</v>
      </c>
      <c r="E147" s="15">
        <v>93810</v>
      </c>
      <c r="F147" s="15">
        <v>38389</v>
      </c>
      <c r="G147" s="15">
        <v>55421</v>
      </c>
    </row>
    <row r="148" spans="1:7" ht="10.5" customHeight="1" x14ac:dyDescent="0.2">
      <c r="A148" s="158" t="s">
        <v>64</v>
      </c>
      <c r="B148" s="15">
        <v>11244</v>
      </c>
      <c r="C148" s="15">
        <v>6309</v>
      </c>
      <c r="D148" s="15">
        <v>4935</v>
      </c>
      <c r="E148" s="15">
        <v>234146</v>
      </c>
      <c r="F148" s="15">
        <v>125029</v>
      </c>
      <c r="G148" s="15">
        <v>109117</v>
      </c>
    </row>
    <row r="149" spans="1:7" ht="10.5" customHeight="1" x14ac:dyDescent="0.2">
      <c r="A149" s="158" t="s">
        <v>63</v>
      </c>
      <c r="B149" s="15">
        <v>13</v>
      </c>
      <c r="C149" s="15">
        <v>9</v>
      </c>
      <c r="D149" s="15">
        <v>4</v>
      </c>
      <c r="E149" s="15">
        <v>650</v>
      </c>
      <c r="F149" s="15">
        <v>274</v>
      </c>
      <c r="G149" s="15">
        <v>376</v>
      </c>
    </row>
    <row r="150" spans="1:7" ht="10.5" customHeight="1" x14ac:dyDescent="0.2">
      <c r="A150" s="158" t="s">
        <v>62</v>
      </c>
      <c r="B150" s="15">
        <v>925</v>
      </c>
      <c r="C150" s="15">
        <v>537</v>
      </c>
      <c r="D150" s="15">
        <v>388</v>
      </c>
      <c r="E150" s="15">
        <v>75844</v>
      </c>
      <c r="F150" s="15">
        <v>35881</v>
      </c>
      <c r="G150" s="15">
        <v>39963</v>
      </c>
    </row>
    <row r="151" spans="1:7" ht="10.5" customHeight="1" x14ac:dyDescent="0.2">
      <c r="A151" s="158" t="s">
        <v>61</v>
      </c>
      <c r="B151" s="15">
        <v>821</v>
      </c>
      <c r="C151" s="15">
        <v>419</v>
      </c>
      <c r="D151" s="15">
        <v>402</v>
      </c>
      <c r="E151" s="15">
        <v>105287</v>
      </c>
      <c r="F151" s="15">
        <v>50950</v>
      </c>
      <c r="G151" s="15">
        <v>54337</v>
      </c>
    </row>
    <row r="152" spans="1:7" ht="10.5" customHeight="1" x14ac:dyDescent="0.2">
      <c r="A152" s="158" t="s">
        <v>60</v>
      </c>
      <c r="B152" s="15">
        <v>33</v>
      </c>
      <c r="C152" s="15">
        <v>19</v>
      </c>
      <c r="D152" s="15">
        <v>14</v>
      </c>
      <c r="E152" s="15">
        <v>7073</v>
      </c>
      <c r="F152" s="15">
        <v>3660</v>
      </c>
      <c r="G152" s="15">
        <v>3413</v>
      </c>
    </row>
    <row r="153" spans="1:7" ht="10.5" customHeight="1" x14ac:dyDescent="0.2">
      <c r="A153" s="158"/>
      <c r="B153" s="15"/>
      <c r="C153" s="15"/>
      <c r="D153" s="15"/>
      <c r="E153" s="15"/>
      <c r="F153" s="15"/>
      <c r="G153" s="15"/>
    </row>
    <row r="154" spans="1:7" ht="10.5" customHeight="1" x14ac:dyDescent="0.2">
      <c r="A154" s="130" t="s">
        <v>23</v>
      </c>
      <c r="B154" s="131">
        <v>787</v>
      </c>
      <c r="C154" s="131">
        <v>412</v>
      </c>
      <c r="D154" s="131">
        <v>375</v>
      </c>
      <c r="E154" s="131">
        <v>1146331</v>
      </c>
      <c r="F154" s="131">
        <v>544816</v>
      </c>
      <c r="G154" s="131">
        <v>601515</v>
      </c>
    </row>
    <row r="155" spans="1:7" ht="10.5" customHeight="1" x14ac:dyDescent="0.2">
      <c r="A155" s="158" t="s">
        <v>67</v>
      </c>
      <c r="B155" s="15">
        <v>4</v>
      </c>
      <c r="C155" s="15">
        <v>2</v>
      </c>
      <c r="D155" s="15">
        <v>2</v>
      </c>
      <c r="E155" s="15">
        <v>65640</v>
      </c>
      <c r="F155" s="15">
        <v>16293</v>
      </c>
      <c r="G155" s="15">
        <v>49347</v>
      </c>
    </row>
    <row r="156" spans="1:7" ht="10.5" customHeight="1" x14ac:dyDescent="0.2">
      <c r="A156" s="158" t="s">
        <v>66</v>
      </c>
      <c r="B156" s="15">
        <v>2</v>
      </c>
      <c r="C156" s="15">
        <v>0</v>
      </c>
      <c r="D156" s="15">
        <v>2</v>
      </c>
      <c r="E156" s="15">
        <v>2401</v>
      </c>
      <c r="F156" s="15">
        <v>916</v>
      </c>
      <c r="G156" s="15">
        <v>1485</v>
      </c>
    </row>
    <row r="157" spans="1:7" ht="10.5" customHeight="1" x14ac:dyDescent="0.2">
      <c r="A157" s="158" t="s">
        <v>65</v>
      </c>
      <c r="B157" s="15">
        <v>99</v>
      </c>
      <c r="C157" s="15">
        <v>37</v>
      </c>
      <c r="D157" s="15">
        <v>62</v>
      </c>
      <c r="E157" s="15">
        <v>287896</v>
      </c>
      <c r="F157" s="15">
        <v>133240</v>
      </c>
      <c r="G157" s="15">
        <v>154656</v>
      </c>
    </row>
    <row r="158" spans="1:7" ht="10.5" customHeight="1" x14ac:dyDescent="0.2">
      <c r="A158" s="158" t="s">
        <v>64</v>
      </c>
      <c r="B158" s="15">
        <v>329</v>
      </c>
      <c r="C158" s="15">
        <v>184</v>
      </c>
      <c r="D158" s="15">
        <v>145</v>
      </c>
      <c r="E158" s="15">
        <v>427974</v>
      </c>
      <c r="F158" s="15">
        <v>225771</v>
      </c>
      <c r="G158" s="15">
        <v>202203</v>
      </c>
    </row>
    <row r="159" spans="1:7" ht="10.5" customHeight="1" x14ac:dyDescent="0.2">
      <c r="A159" s="158" t="s">
        <v>63</v>
      </c>
      <c r="B159" s="15">
        <v>2</v>
      </c>
      <c r="C159" s="15">
        <v>0</v>
      </c>
      <c r="D159" s="15">
        <v>2</v>
      </c>
      <c r="E159" s="15">
        <v>1398</v>
      </c>
      <c r="F159" s="15">
        <v>583</v>
      </c>
      <c r="G159" s="15">
        <v>815</v>
      </c>
    </row>
    <row r="160" spans="1:7" ht="10.5" customHeight="1" x14ac:dyDescent="0.2">
      <c r="A160" s="158" t="s">
        <v>62</v>
      </c>
      <c r="B160" s="15">
        <v>153</v>
      </c>
      <c r="C160" s="15">
        <v>80</v>
      </c>
      <c r="D160" s="15">
        <v>73</v>
      </c>
      <c r="E160" s="15">
        <v>145858</v>
      </c>
      <c r="F160" s="15">
        <v>65725</v>
      </c>
      <c r="G160" s="15">
        <v>80133</v>
      </c>
    </row>
    <row r="161" spans="1:7" ht="10.5" customHeight="1" x14ac:dyDescent="0.2">
      <c r="A161" s="158" t="s">
        <v>61</v>
      </c>
      <c r="B161" s="15">
        <v>183</v>
      </c>
      <c r="C161" s="15">
        <v>99</v>
      </c>
      <c r="D161" s="15">
        <v>84</v>
      </c>
      <c r="E161" s="15">
        <v>199850</v>
      </c>
      <c r="F161" s="15">
        <v>94545</v>
      </c>
      <c r="G161" s="15">
        <v>105305</v>
      </c>
    </row>
    <row r="162" spans="1:7" ht="10.5" customHeight="1" x14ac:dyDescent="0.2">
      <c r="A162" s="158" t="s">
        <v>60</v>
      </c>
      <c r="B162" s="15">
        <v>15</v>
      </c>
      <c r="C162" s="15">
        <v>10</v>
      </c>
      <c r="D162" s="15">
        <v>5</v>
      </c>
      <c r="E162" s="15">
        <v>15314</v>
      </c>
      <c r="F162" s="15">
        <v>7743</v>
      </c>
      <c r="G162" s="15">
        <v>7571</v>
      </c>
    </row>
    <row r="163" spans="1:7" ht="10.5" customHeight="1" x14ac:dyDescent="0.2">
      <c r="A163" s="158"/>
      <c r="B163" s="15"/>
      <c r="C163" s="15"/>
      <c r="D163" s="15"/>
      <c r="E163" s="15"/>
      <c r="F163" s="15"/>
      <c r="G163" s="15"/>
    </row>
    <row r="164" spans="1:7" ht="10.5" customHeight="1" x14ac:dyDescent="0.2">
      <c r="A164" s="130" t="s">
        <v>22</v>
      </c>
      <c r="B164" s="131">
        <v>663</v>
      </c>
      <c r="C164" s="131">
        <v>295</v>
      </c>
      <c r="D164" s="131">
        <v>368</v>
      </c>
      <c r="E164" s="131">
        <v>759920</v>
      </c>
      <c r="F164" s="131">
        <v>356760</v>
      </c>
      <c r="G164" s="131">
        <v>403160</v>
      </c>
    </row>
    <row r="165" spans="1:7" ht="10.5" customHeight="1" x14ac:dyDescent="0.2">
      <c r="A165" s="158" t="s">
        <v>67</v>
      </c>
      <c r="B165" s="15">
        <v>18</v>
      </c>
      <c r="C165" s="15">
        <v>4</v>
      </c>
      <c r="D165" s="15">
        <v>14</v>
      </c>
      <c r="E165" s="15">
        <v>31296</v>
      </c>
      <c r="F165" s="15">
        <v>8452</v>
      </c>
      <c r="G165" s="15">
        <v>22844</v>
      </c>
    </row>
    <row r="166" spans="1:7" ht="10.5" customHeight="1" x14ac:dyDescent="0.2">
      <c r="A166" s="158" t="s">
        <v>66</v>
      </c>
      <c r="B166" s="15">
        <v>3</v>
      </c>
      <c r="C166" s="15">
        <v>1</v>
      </c>
      <c r="D166" s="15">
        <v>2</v>
      </c>
      <c r="E166" s="15">
        <v>1531</v>
      </c>
      <c r="F166" s="15">
        <v>579</v>
      </c>
      <c r="G166" s="15">
        <v>952</v>
      </c>
    </row>
    <row r="167" spans="1:7" ht="10.5" customHeight="1" x14ac:dyDescent="0.2">
      <c r="A167" s="158" t="s">
        <v>65</v>
      </c>
      <c r="B167" s="15">
        <v>97</v>
      </c>
      <c r="C167" s="15">
        <v>37</v>
      </c>
      <c r="D167" s="15">
        <v>60</v>
      </c>
      <c r="E167" s="15">
        <v>161413</v>
      </c>
      <c r="F167" s="15">
        <v>67713</v>
      </c>
      <c r="G167" s="15">
        <v>93700</v>
      </c>
    </row>
    <row r="168" spans="1:7" ht="10.5" customHeight="1" x14ac:dyDescent="0.2">
      <c r="A168" s="158" t="s">
        <v>64</v>
      </c>
      <c r="B168" s="15">
        <v>307</v>
      </c>
      <c r="C168" s="15">
        <v>138</v>
      </c>
      <c r="D168" s="15">
        <v>169</v>
      </c>
      <c r="E168" s="15">
        <v>315162</v>
      </c>
      <c r="F168" s="15">
        <v>163358</v>
      </c>
      <c r="G168" s="15">
        <v>151804</v>
      </c>
    </row>
    <row r="169" spans="1:7" ht="10.5" customHeight="1" x14ac:dyDescent="0.2">
      <c r="A169" s="158" t="s">
        <v>63</v>
      </c>
      <c r="B169" s="15">
        <v>0</v>
      </c>
      <c r="C169" s="15">
        <v>0</v>
      </c>
      <c r="D169" s="15">
        <v>0</v>
      </c>
      <c r="E169" s="15">
        <v>759</v>
      </c>
      <c r="F169" s="15">
        <v>317</v>
      </c>
      <c r="G169" s="15">
        <v>442</v>
      </c>
    </row>
    <row r="170" spans="1:7" ht="10.5" customHeight="1" x14ac:dyDescent="0.2">
      <c r="A170" s="158" t="s">
        <v>62</v>
      </c>
      <c r="B170" s="15">
        <v>99</v>
      </c>
      <c r="C170" s="15">
        <v>46</v>
      </c>
      <c r="D170" s="15">
        <v>53</v>
      </c>
      <c r="E170" s="15">
        <v>104371</v>
      </c>
      <c r="F170" s="15">
        <v>46636</v>
      </c>
      <c r="G170" s="15">
        <v>57735</v>
      </c>
    </row>
    <row r="171" spans="1:7" ht="10.5" customHeight="1" x14ac:dyDescent="0.2">
      <c r="A171" s="158" t="s">
        <v>61</v>
      </c>
      <c r="B171" s="15">
        <v>128</v>
      </c>
      <c r="C171" s="15">
        <v>63</v>
      </c>
      <c r="D171" s="15">
        <v>65</v>
      </c>
      <c r="E171" s="15">
        <v>135097</v>
      </c>
      <c r="F171" s="15">
        <v>64565</v>
      </c>
      <c r="G171" s="15">
        <v>70532</v>
      </c>
    </row>
    <row r="172" spans="1:7" ht="10.5" customHeight="1" x14ac:dyDescent="0.2">
      <c r="A172" s="158" t="s">
        <v>60</v>
      </c>
      <c r="B172" s="15">
        <v>11</v>
      </c>
      <c r="C172" s="15">
        <v>6</v>
      </c>
      <c r="D172" s="15">
        <v>5</v>
      </c>
      <c r="E172" s="15">
        <v>10291</v>
      </c>
      <c r="F172" s="15">
        <v>5140</v>
      </c>
      <c r="G172" s="15">
        <v>5151</v>
      </c>
    </row>
    <row r="173" spans="1:7" ht="10.5" customHeight="1" x14ac:dyDescent="0.2">
      <c r="A173" s="158"/>
      <c r="B173" s="15"/>
      <c r="C173" s="15"/>
      <c r="D173" s="15"/>
      <c r="E173" s="15"/>
      <c r="F173" s="15"/>
      <c r="G173" s="15"/>
    </row>
    <row r="174" spans="1:7" ht="10.5" customHeight="1" x14ac:dyDescent="0.2">
      <c r="A174" s="130" t="s">
        <v>21</v>
      </c>
      <c r="B174" s="131">
        <v>14992</v>
      </c>
      <c r="C174" s="131">
        <v>7091</v>
      </c>
      <c r="D174" s="131">
        <v>7901</v>
      </c>
      <c r="E174" s="131">
        <v>5844124</v>
      </c>
      <c r="F174" s="131">
        <v>2798665</v>
      </c>
      <c r="G174" s="131">
        <v>3045459</v>
      </c>
    </row>
    <row r="175" spans="1:7" ht="10.5" customHeight="1" x14ac:dyDescent="0.2">
      <c r="A175" s="158" t="s">
        <v>67</v>
      </c>
      <c r="B175" s="15">
        <v>147</v>
      </c>
      <c r="C175" s="15">
        <v>32</v>
      </c>
      <c r="D175" s="15">
        <v>115</v>
      </c>
      <c r="E175" s="15">
        <v>61422</v>
      </c>
      <c r="F175" s="15">
        <v>16182</v>
      </c>
      <c r="G175" s="15">
        <v>45240</v>
      </c>
    </row>
    <row r="176" spans="1:7" ht="10.5" customHeight="1" x14ac:dyDescent="0.2">
      <c r="A176" s="158" t="s">
        <v>66</v>
      </c>
      <c r="B176" s="15">
        <v>22</v>
      </c>
      <c r="C176" s="15">
        <v>11</v>
      </c>
      <c r="D176" s="15">
        <v>11</v>
      </c>
      <c r="E176" s="15">
        <v>6355</v>
      </c>
      <c r="F176" s="15">
        <v>2748</v>
      </c>
      <c r="G176" s="15">
        <v>3607</v>
      </c>
    </row>
    <row r="177" spans="1:7" ht="10.5" customHeight="1" x14ac:dyDescent="0.2">
      <c r="A177" s="158" t="s">
        <v>65</v>
      </c>
      <c r="B177" s="15">
        <v>1631</v>
      </c>
      <c r="C177" s="15">
        <v>519</v>
      </c>
      <c r="D177" s="15">
        <v>1112</v>
      </c>
      <c r="E177" s="15">
        <v>560179</v>
      </c>
      <c r="F177" s="15">
        <v>214667</v>
      </c>
      <c r="G177" s="15">
        <v>345512</v>
      </c>
    </row>
    <row r="178" spans="1:7" ht="10.5" customHeight="1" x14ac:dyDescent="0.2">
      <c r="A178" s="158" t="s">
        <v>64</v>
      </c>
      <c r="B178" s="15">
        <v>7402</v>
      </c>
      <c r="C178" s="15">
        <v>3670</v>
      </c>
      <c r="D178" s="15">
        <v>3732</v>
      </c>
      <c r="E178" s="15">
        <v>2539920</v>
      </c>
      <c r="F178" s="15">
        <v>1297505</v>
      </c>
      <c r="G178" s="15">
        <v>1242415</v>
      </c>
    </row>
    <row r="179" spans="1:7" ht="10.5" customHeight="1" x14ac:dyDescent="0.2">
      <c r="A179" s="158" t="s">
        <v>63</v>
      </c>
      <c r="B179" s="15">
        <v>35</v>
      </c>
      <c r="C179" s="15">
        <v>12</v>
      </c>
      <c r="D179" s="15">
        <v>23</v>
      </c>
      <c r="E179" s="15">
        <v>18397</v>
      </c>
      <c r="F179" s="15">
        <v>7047</v>
      </c>
      <c r="G179" s="15">
        <v>11350</v>
      </c>
    </row>
    <row r="180" spans="1:7" ht="10.5" customHeight="1" x14ac:dyDescent="0.2">
      <c r="A180" s="158" t="s">
        <v>62</v>
      </c>
      <c r="B180" s="15">
        <v>2720</v>
      </c>
      <c r="C180" s="15">
        <v>1327</v>
      </c>
      <c r="D180" s="15">
        <v>1393</v>
      </c>
      <c r="E180" s="15">
        <v>1057634</v>
      </c>
      <c r="F180" s="15">
        <v>474795</v>
      </c>
      <c r="G180" s="15">
        <v>582839</v>
      </c>
    </row>
    <row r="181" spans="1:7" ht="10.5" customHeight="1" x14ac:dyDescent="0.2">
      <c r="A181" s="158" t="s">
        <v>61</v>
      </c>
      <c r="B181" s="15">
        <v>2755</v>
      </c>
      <c r="C181" s="15">
        <v>1384</v>
      </c>
      <c r="D181" s="15">
        <v>1371</v>
      </c>
      <c r="E181" s="15">
        <v>1445816</v>
      </c>
      <c r="F181" s="15">
        <v>701454</v>
      </c>
      <c r="G181" s="15">
        <v>744362</v>
      </c>
    </row>
    <row r="182" spans="1:7" ht="10.5" customHeight="1" x14ac:dyDescent="0.2">
      <c r="A182" s="158" t="s">
        <v>60</v>
      </c>
      <c r="B182" s="15">
        <v>280</v>
      </c>
      <c r="C182" s="15">
        <v>136</v>
      </c>
      <c r="D182" s="15">
        <v>144</v>
      </c>
      <c r="E182" s="15">
        <v>154401</v>
      </c>
      <c r="F182" s="15">
        <v>84267</v>
      </c>
      <c r="G182" s="15">
        <v>70134</v>
      </c>
    </row>
    <row r="183" spans="1:7" ht="10.5" customHeight="1" x14ac:dyDescent="0.2">
      <c r="A183" s="158"/>
      <c r="B183" s="15"/>
      <c r="C183" s="15"/>
      <c r="D183" s="15"/>
      <c r="E183" s="15"/>
      <c r="F183" s="15"/>
      <c r="G183" s="15"/>
    </row>
    <row r="184" spans="1:7" ht="10.5" customHeight="1" x14ac:dyDescent="0.2">
      <c r="A184" s="130" t="s">
        <v>20</v>
      </c>
      <c r="B184" s="131">
        <v>45084</v>
      </c>
      <c r="C184" s="131">
        <v>22641</v>
      </c>
      <c r="D184" s="131">
        <v>22443</v>
      </c>
      <c r="E184" s="131">
        <v>482466</v>
      </c>
      <c r="F184" s="131">
        <v>239766</v>
      </c>
      <c r="G184" s="131">
        <v>242700</v>
      </c>
    </row>
    <row r="185" spans="1:7" ht="10.5" customHeight="1" x14ac:dyDescent="0.2">
      <c r="A185" s="158" t="s">
        <v>67</v>
      </c>
      <c r="B185" s="15">
        <v>8516</v>
      </c>
      <c r="C185" s="15">
        <v>2645</v>
      </c>
      <c r="D185" s="15">
        <v>5871</v>
      </c>
      <c r="E185" s="15">
        <v>14523</v>
      </c>
      <c r="F185" s="15">
        <v>4670</v>
      </c>
      <c r="G185" s="15">
        <v>9853</v>
      </c>
    </row>
    <row r="186" spans="1:7" ht="10.5" customHeight="1" x14ac:dyDescent="0.2">
      <c r="A186" s="158" t="s">
        <v>66</v>
      </c>
      <c r="B186" s="15">
        <v>129</v>
      </c>
      <c r="C186" s="15">
        <v>40</v>
      </c>
      <c r="D186" s="15">
        <v>89</v>
      </c>
      <c r="E186" s="15">
        <v>782</v>
      </c>
      <c r="F186" s="15">
        <v>326</v>
      </c>
      <c r="G186" s="15">
        <v>456</v>
      </c>
    </row>
    <row r="187" spans="1:7" ht="10.5" customHeight="1" x14ac:dyDescent="0.2">
      <c r="A187" s="158" t="s">
        <v>65</v>
      </c>
      <c r="B187" s="15">
        <v>18009</v>
      </c>
      <c r="C187" s="15">
        <v>8580</v>
      </c>
      <c r="D187" s="15">
        <v>9429</v>
      </c>
      <c r="E187" s="15">
        <v>133613</v>
      </c>
      <c r="F187" s="15">
        <v>60282</v>
      </c>
      <c r="G187" s="15">
        <v>73331</v>
      </c>
    </row>
    <row r="188" spans="1:7" ht="10.5" customHeight="1" x14ac:dyDescent="0.2">
      <c r="A188" s="158" t="s">
        <v>64</v>
      </c>
      <c r="B188" s="15">
        <v>14685</v>
      </c>
      <c r="C188" s="15">
        <v>8842</v>
      </c>
      <c r="D188" s="15">
        <v>5843</v>
      </c>
      <c r="E188" s="15">
        <v>215202</v>
      </c>
      <c r="F188" s="15">
        <v>112150</v>
      </c>
      <c r="G188" s="15">
        <v>103052</v>
      </c>
    </row>
    <row r="189" spans="1:7" ht="10.5" customHeight="1" x14ac:dyDescent="0.2">
      <c r="A189" s="158" t="s">
        <v>63</v>
      </c>
      <c r="B189" s="15">
        <v>24</v>
      </c>
      <c r="C189" s="15">
        <v>11</v>
      </c>
      <c r="D189" s="15">
        <v>13</v>
      </c>
      <c r="E189" s="15">
        <v>869</v>
      </c>
      <c r="F189" s="15">
        <v>371</v>
      </c>
      <c r="G189" s="15">
        <v>498</v>
      </c>
    </row>
    <row r="190" spans="1:7" ht="10.5" customHeight="1" x14ac:dyDescent="0.2">
      <c r="A190" s="158" t="s">
        <v>62</v>
      </c>
      <c r="B190" s="15">
        <v>1825</v>
      </c>
      <c r="C190" s="15">
        <v>1250</v>
      </c>
      <c r="D190" s="15">
        <v>575</v>
      </c>
      <c r="E190" s="15">
        <v>53895</v>
      </c>
      <c r="F190" s="15">
        <v>28800</v>
      </c>
      <c r="G190" s="15">
        <v>25095</v>
      </c>
    </row>
    <row r="191" spans="1:7" ht="10.5" customHeight="1" x14ac:dyDescent="0.2">
      <c r="A191" s="158" t="s">
        <v>61</v>
      </c>
      <c r="B191" s="15">
        <v>1800</v>
      </c>
      <c r="C191" s="15">
        <v>1215</v>
      </c>
      <c r="D191" s="15">
        <v>585</v>
      </c>
      <c r="E191" s="15">
        <v>59687</v>
      </c>
      <c r="F191" s="15">
        <v>31075</v>
      </c>
      <c r="G191" s="15">
        <v>28612</v>
      </c>
    </row>
    <row r="192" spans="1:7" ht="10.5" customHeight="1" x14ac:dyDescent="0.2">
      <c r="A192" s="158" t="s">
        <v>60</v>
      </c>
      <c r="B192" s="15">
        <v>96</v>
      </c>
      <c r="C192" s="15">
        <v>58</v>
      </c>
      <c r="D192" s="15">
        <v>38</v>
      </c>
      <c r="E192" s="15">
        <v>3895</v>
      </c>
      <c r="F192" s="15">
        <v>2092</v>
      </c>
      <c r="G192" s="15">
        <v>1803</v>
      </c>
    </row>
    <row r="193" spans="1:7" ht="10.5" customHeight="1" x14ac:dyDescent="0.2">
      <c r="A193" s="158"/>
      <c r="B193" s="15"/>
      <c r="C193" s="15"/>
      <c r="D193" s="15"/>
      <c r="E193" s="15"/>
      <c r="F193" s="15"/>
      <c r="G193" s="15"/>
    </row>
    <row r="194" spans="1:7" ht="10.5" customHeight="1" x14ac:dyDescent="0.2">
      <c r="A194" s="137" t="s">
        <v>19</v>
      </c>
      <c r="B194" s="131">
        <v>3145</v>
      </c>
      <c r="C194" s="131">
        <v>1600</v>
      </c>
      <c r="D194" s="131">
        <v>1545</v>
      </c>
      <c r="E194" s="131">
        <v>54901</v>
      </c>
      <c r="F194" s="131">
        <v>28850</v>
      </c>
      <c r="G194" s="131">
        <v>26051</v>
      </c>
    </row>
    <row r="195" spans="1:7" ht="10.5" customHeight="1" x14ac:dyDescent="0.2">
      <c r="A195" s="158" t="s">
        <v>67</v>
      </c>
      <c r="B195" s="15">
        <v>315</v>
      </c>
      <c r="C195" s="15">
        <v>131</v>
      </c>
      <c r="D195" s="15">
        <v>184</v>
      </c>
      <c r="E195" s="15">
        <v>824</v>
      </c>
      <c r="F195" s="15">
        <v>293</v>
      </c>
      <c r="G195" s="15">
        <v>531</v>
      </c>
    </row>
    <row r="196" spans="1:7" ht="10.5" customHeight="1" x14ac:dyDescent="0.2">
      <c r="A196" s="158" t="s">
        <v>66</v>
      </c>
      <c r="B196" s="15">
        <v>12</v>
      </c>
      <c r="C196" s="15">
        <v>4</v>
      </c>
      <c r="D196" s="15">
        <v>8</v>
      </c>
      <c r="E196" s="15">
        <v>141</v>
      </c>
      <c r="F196" s="15">
        <v>52</v>
      </c>
      <c r="G196" s="15">
        <v>89</v>
      </c>
    </row>
    <row r="197" spans="1:7" ht="10.5" customHeight="1" x14ac:dyDescent="0.2">
      <c r="A197" s="158" t="s">
        <v>65</v>
      </c>
      <c r="B197" s="15">
        <v>820</v>
      </c>
      <c r="C197" s="15">
        <v>413</v>
      </c>
      <c r="D197" s="15">
        <v>407</v>
      </c>
      <c r="E197" s="15">
        <v>8187</v>
      </c>
      <c r="F197" s="15">
        <v>3830</v>
      </c>
      <c r="G197" s="15">
        <v>4357</v>
      </c>
    </row>
    <row r="198" spans="1:7" ht="10.5" customHeight="1" x14ac:dyDescent="0.2">
      <c r="A198" s="158" t="s">
        <v>64</v>
      </c>
      <c r="B198" s="15">
        <v>1378</v>
      </c>
      <c r="C198" s="15">
        <v>739</v>
      </c>
      <c r="D198" s="15">
        <v>639</v>
      </c>
      <c r="E198" s="15">
        <v>27467</v>
      </c>
      <c r="F198" s="15">
        <v>15334</v>
      </c>
      <c r="G198" s="15">
        <v>12133</v>
      </c>
    </row>
    <row r="199" spans="1:7" ht="10.5" customHeight="1" x14ac:dyDescent="0.2">
      <c r="A199" s="158" t="s">
        <v>63</v>
      </c>
      <c r="B199" s="15">
        <v>3</v>
      </c>
      <c r="C199" s="15">
        <v>0</v>
      </c>
      <c r="D199" s="15">
        <v>3</v>
      </c>
      <c r="E199" s="15">
        <v>102</v>
      </c>
      <c r="F199" s="15">
        <v>43</v>
      </c>
      <c r="G199" s="15">
        <v>59</v>
      </c>
    </row>
    <row r="200" spans="1:7" ht="10.5" customHeight="1" x14ac:dyDescent="0.2">
      <c r="A200" s="158" t="s">
        <v>62</v>
      </c>
      <c r="B200" s="15">
        <v>321</v>
      </c>
      <c r="C200" s="15">
        <v>174</v>
      </c>
      <c r="D200" s="15">
        <v>147</v>
      </c>
      <c r="E200" s="15">
        <v>7927</v>
      </c>
      <c r="F200" s="15">
        <v>3991</v>
      </c>
      <c r="G200" s="15">
        <v>3936</v>
      </c>
    </row>
    <row r="201" spans="1:7" ht="10.5" customHeight="1" x14ac:dyDescent="0.2">
      <c r="A201" s="158" t="s">
        <v>61</v>
      </c>
      <c r="B201" s="15">
        <v>281</v>
      </c>
      <c r="C201" s="15">
        <v>132</v>
      </c>
      <c r="D201" s="15">
        <v>149</v>
      </c>
      <c r="E201" s="15">
        <v>9681</v>
      </c>
      <c r="F201" s="15">
        <v>4957</v>
      </c>
      <c r="G201" s="15">
        <v>4724</v>
      </c>
    </row>
    <row r="202" spans="1:7" ht="10.5" customHeight="1" x14ac:dyDescent="0.2">
      <c r="A202" s="158" t="s">
        <v>60</v>
      </c>
      <c r="B202" s="15">
        <v>15</v>
      </c>
      <c r="C202" s="15">
        <v>7</v>
      </c>
      <c r="D202" s="15">
        <v>8</v>
      </c>
      <c r="E202" s="15">
        <v>572</v>
      </c>
      <c r="F202" s="15">
        <v>350</v>
      </c>
      <c r="G202" s="15">
        <v>222</v>
      </c>
    </row>
    <row r="203" spans="1:7" s="1" customFormat="1" ht="3.75" customHeight="1" thickBot="1" x14ac:dyDescent="0.3">
      <c r="A203" s="83"/>
      <c r="B203" s="74"/>
      <c r="C203" s="74"/>
      <c r="D203" s="75"/>
      <c r="E203" s="76"/>
      <c r="F203" s="76"/>
      <c r="G203" s="76"/>
    </row>
    <row r="204" spans="1:7" s="1" customFormat="1" ht="10.5" customHeight="1" x14ac:dyDescent="0.25">
      <c r="A204" s="48"/>
      <c r="B204" s="7"/>
      <c r="C204" s="7"/>
      <c r="D204" s="6"/>
      <c r="E204" s="28"/>
      <c r="F204" s="28"/>
      <c r="G204" s="7" t="s">
        <v>83</v>
      </c>
    </row>
    <row r="205" spans="1:7" ht="12.75" customHeight="1" x14ac:dyDescent="0.2">
      <c r="A205" s="222" t="str">
        <f>A$1</f>
        <v>CUADRO Nº 2.8</v>
      </c>
      <c r="B205" s="222"/>
      <c r="C205" s="222"/>
      <c r="D205" s="222"/>
      <c r="E205" s="222"/>
      <c r="F205" s="222"/>
      <c r="G205" s="222"/>
    </row>
    <row r="206" spans="1:7" ht="20.25" customHeight="1" x14ac:dyDescent="0.2">
      <c r="A206" s="226" t="str">
        <f>A$2</f>
        <v>PERÚ: POBLACIÓN CENSADA INDÍGENA U ORIGINARIA DE LA AMAZONÍA, BLANCA(O), MESTIZA(O) Y OTRA(O) DE 15 Y MÁS AÑOS DE EDAD, POR SEXO, SEGÚN NIVEL DE EDUCACIÓN ALCANZADO Y DEPARTAMENTO, 2017</v>
      </c>
      <c r="B206" s="226"/>
      <c r="C206" s="226"/>
      <c r="D206" s="226"/>
      <c r="E206" s="226"/>
      <c r="F206" s="226"/>
      <c r="G206" s="226"/>
    </row>
    <row r="207" spans="1:7" s="10" customFormat="1" ht="12.75" customHeight="1" x14ac:dyDescent="0.25">
      <c r="A207" s="215" t="str">
        <f>A$3</f>
        <v>(Cifras absolutas)</v>
      </c>
      <c r="B207" s="215"/>
      <c r="C207" s="215"/>
      <c r="D207" s="215"/>
      <c r="E207" s="215"/>
      <c r="F207" s="215"/>
      <c r="G207" s="215"/>
    </row>
    <row r="208" spans="1:7" s="10" customFormat="1" ht="10.5" customHeight="1" thickBot="1" x14ac:dyDescent="0.3">
      <c r="A208" s="47"/>
      <c r="B208" s="47"/>
      <c r="C208" s="47"/>
      <c r="D208" s="47"/>
      <c r="E208" s="47"/>
      <c r="F208" s="47"/>
      <c r="G208" s="47"/>
    </row>
    <row r="209" spans="1:7" ht="12.75" customHeight="1" thickBot="1" x14ac:dyDescent="0.25">
      <c r="A209" s="228" t="str">
        <f>A$5</f>
        <v>Nivel de educación alcanzado / Departamento</v>
      </c>
      <c r="B209" s="210" t="str">
        <f>B$5</f>
        <v>Indígena u originaria de la Amazonía</v>
      </c>
      <c r="C209" s="211"/>
      <c r="D209" s="212"/>
      <c r="E209" s="210" t="s">
        <v>116</v>
      </c>
      <c r="F209" s="211"/>
      <c r="G209" s="212"/>
    </row>
    <row r="210" spans="1:7" ht="12.75" customHeight="1" thickBot="1" x14ac:dyDescent="0.25">
      <c r="A210" s="229"/>
      <c r="B210" s="156" t="str">
        <f>B$6</f>
        <v>Total</v>
      </c>
      <c r="C210" s="156" t="str">
        <f t="shared" ref="C210:G210" si="2">C$6</f>
        <v>Hombre</v>
      </c>
      <c r="D210" s="160" t="str">
        <f t="shared" si="2"/>
        <v>Mujer</v>
      </c>
      <c r="E210" s="153" t="str">
        <f t="shared" si="2"/>
        <v>Total</v>
      </c>
      <c r="F210" s="154" t="str">
        <f t="shared" si="2"/>
        <v>Hombre</v>
      </c>
      <c r="G210" s="155" t="str">
        <f t="shared" si="2"/>
        <v>Mujer</v>
      </c>
    </row>
    <row r="211" spans="1:7" ht="3.75" customHeight="1" x14ac:dyDescent="0.2">
      <c r="A211" s="129"/>
      <c r="B211" s="149"/>
      <c r="C211" s="149"/>
      <c r="D211" s="150"/>
      <c r="E211" s="150"/>
      <c r="F211" s="150"/>
      <c r="G211" s="150"/>
    </row>
    <row r="212" spans="1:7" ht="10.5" customHeight="1" x14ac:dyDescent="0.2">
      <c r="A212" s="130" t="s">
        <v>12</v>
      </c>
      <c r="B212" s="131">
        <v>121</v>
      </c>
      <c r="C212" s="131">
        <v>57</v>
      </c>
      <c r="D212" s="131">
        <v>64</v>
      </c>
      <c r="E212" s="131">
        <v>80216</v>
      </c>
      <c r="F212" s="131">
        <v>40168</v>
      </c>
      <c r="G212" s="131">
        <v>40048</v>
      </c>
    </row>
    <row r="213" spans="1:7" ht="10.5" customHeight="1" x14ac:dyDescent="0.2">
      <c r="A213" s="158" t="s">
        <v>67</v>
      </c>
      <c r="B213" s="15">
        <v>2</v>
      </c>
      <c r="C213" s="15">
        <v>0</v>
      </c>
      <c r="D213" s="15">
        <v>2</v>
      </c>
      <c r="E213" s="15">
        <v>1061</v>
      </c>
      <c r="F213" s="15">
        <v>297</v>
      </c>
      <c r="G213" s="15">
        <v>764</v>
      </c>
    </row>
    <row r="214" spans="1:7" ht="10.5" customHeight="1" x14ac:dyDescent="0.2">
      <c r="A214" s="158" t="s">
        <v>66</v>
      </c>
      <c r="B214" s="15">
        <v>0</v>
      </c>
      <c r="C214" s="15">
        <v>0</v>
      </c>
      <c r="D214" s="15">
        <v>0</v>
      </c>
      <c r="E214" s="15">
        <v>68</v>
      </c>
      <c r="F214" s="15">
        <v>29</v>
      </c>
      <c r="G214" s="15">
        <v>39</v>
      </c>
    </row>
    <row r="215" spans="1:7" ht="10.5" customHeight="1" x14ac:dyDescent="0.2">
      <c r="A215" s="158" t="s">
        <v>65</v>
      </c>
      <c r="B215" s="15">
        <v>10</v>
      </c>
      <c r="C215" s="15">
        <v>3</v>
      </c>
      <c r="D215" s="15">
        <v>7</v>
      </c>
      <c r="E215" s="15">
        <v>7862</v>
      </c>
      <c r="F215" s="15">
        <v>3423</v>
      </c>
      <c r="G215" s="15">
        <v>4439</v>
      </c>
    </row>
    <row r="216" spans="1:7" ht="10.5" customHeight="1" x14ac:dyDescent="0.2">
      <c r="A216" s="158" t="s">
        <v>64</v>
      </c>
      <c r="B216" s="15">
        <v>53</v>
      </c>
      <c r="C216" s="15">
        <v>25</v>
      </c>
      <c r="D216" s="15">
        <v>28</v>
      </c>
      <c r="E216" s="15">
        <v>29137</v>
      </c>
      <c r="F216" s="15">
        <v>15530</v>
      </c>
      <c r="G216" s="15">
        <v>13607</v>
      </c>
    </row>
    <row r="217" spans="1:7" ht="10.5" customHeight="1" x14ac:dyDescent="0.2">
      <c r="A217" s="158" t="s">
        <v>63</v>
      </c>
      <c r="B217" s="15">
        <v>1</v>
      </c>
      <c r="C217" s="15">
        <v>0</v>
      </c>
      <c r="D217" s="15">
        <v>1</v>
      </c>
      <c r="E217" s="15">
        <v>181</v>
      </c>
      <c r="F217" s="15">
        <v>81</v>
      </c>
      <c r="G217" s="15">
        <v>100</v>
      </c>
    </row>
    <row r="218" spans="1:7" ht="10.5" customHeight="1" x14ac:dyDescent="0.2">
      <c r="A218" s="158" t="s">
        <v>62</v>
      </c>
      <c r="B218" s="15">
        <v>28</v>
      </c>
      <c r="C218" s="15">
        <v>15</v>
      </c>
      <c r="D218" s="15">
        <v>13</v>
      </c>
      <c r="E218" s="15">
        <v>18125</v>
      </c>
      <c r="F218" s="15">
        <v>9402</v>
      </c>
      <c r="G218" s="15">
        <v>8723</v>
      </c>
    </row>
    <row r="219" spans="1:7" ht="10.5" customHeight="1" x14ac:dyDescent="0.2">
      <c r="A219" s="158" t="s">
        <v>61</v>
      </c>
      <c r="B219" s="15">
        <v>25</v>
      </c>
      <c r="C219" s="15">
        <v>13</v>
      </c>
      <c r="D219" s="15">
        <v>12</v>
      </c>
      <c r="E219" s="15">
        <v>22082</v>
      </c>
      <c r="F219" s="15">
        <v>10497</v>
      </c>
      <c r="G219" s="15">
        <v>11585</v>
      </c>
    </row>
    <row r="220" spans="1:7" ht="10.5" customHeight="1" x14ac:dyDescent="0.2">
      <c r="A220" s="158" t="s">
        <v>60</v>
      </c>
      <c r="B220" s="15">
        <v>2</v>
      </c>
      <c r="C220" s="15">
        <v>1</v>
      </c>
      <c r="D220" s="15">
        <v>1</v>
      </c>
      <c r="E220" s="15">
        <v>1700</v>
      </c>
      <c r="F220" s="15">
        <v>909</v>
      </c>
      <c r="G220" s="15">
        <v>791</v>
      </c>
    </row>
    <row r="221" spans="1:7" ht="10.5" customHeight="1" x14ac:dyDescent="0.2">
      <c r="A221" s="158"/>
      <c r="B221" s="15"/>
      <c r="C221" s="15"/>
      <c r="D221" s="15"/>
      <c r="E221" s="15"/>
      <c r="F221" s="15"/>
      <c r="G221" s="15"/>
    </row>
    <row r="222" spans="1:7" ht="10.5" customHeight="1" x14ac:dyDescent="0.2">
      <c r="A222" s="130" t="s">
        <v>11</v>
      </c>
      <c r="B222" s="131">
        <v>10808</v>
      </c>
      <c r="C222" s="131">
        <v>5348</v>
      </c>
      <c r="D222" s="131">
        <v>5460</v>
      </c>
      <c r="E222" s="131">
        <v>99321</v>
      </c>
      <c r="F222" s="131">
        <v>50745</v>
      </c>
      <c r="G222" s="131">
        <v>48576</v>
      </c>
    </row>
    <row r="223" spans="1:7" ht="10.5" customHeight="1" x14ac:dyDescent="0.2">
      <c r="A223" s="158" t="s">
        <v>67</v>
      </c>
      <c r="B223" s="15">
        <v>1285</v>
      </c>
      <c r="C223" s="15">
        <v>468</v>
      </c>
      <c r="D223" s="15">
        <v>817</v>
      </c>
      <c r="E223" s="15">
        <v>4305</v>
      </c>
      <c r="F223" s="15">
        <v>1183</v>
      </c>
      <c r="G223" s="15">
        <v>3122</v>
      </c>
    </row>
    <row r="224" spans="1:7" ht="10.5" customHeight="1" x14ac:dyDescent="0.2">
      <c r="A224" s="158" t="s">
        <v>66</v>
      </c>
      <c r="B224" s="15">
        <v>17</v>
      </c>
      <c r="C224" s="15">
        <v>4</v>
      </c>
      <c r="D224" s="15">
        <v>13</v>
      </c>
      <c r="E224" s="15">
        <v>155</v>
      </c>
      <c r="F224" s="15">
        <v>69</v>
      </c>
      <c r="G224" s="15">
        <v>86</v>
      </c>
    </row>
    <row r="225" spans="1:7" ht="10.5" customHeight="1" x14ac:dyDescent="0.2">
      <c r="A225" s="158" t="s">
        <v>65</v>
      </c>
      <c r="B225" s="15">
        <v>4644</v>
      </c>
      <c r="C225" s="15">
        <v>2239</v>
      </c>
      <c r="D225" s="15">
        <v>2405</v>
      </c>
      <c r="E225" s="15">
        <v>19185</v>
      </c>
      <c r="F225" s="15">
        <v>8665</v>
      </c>
      <c r="G225" s="15">
        <v>10520</v>
      </c>
    </row>
    <row r="226" spans="1:7" ht="10.5" customHeight="1" x14ac:dyDescent="0.2">
      <c r="A226" s="158" t="s">
        <v>64</v>
      </c>
      <c r="B226" s="15">
        <v>4081</v>
      </c>
      <c r="C226" s="15">
        <v>2224</v>
      </c>
      <c r="D226" s="15">
        <v>1857</v>
      </c>
      <c r="E226" s="15">
        <v>42976</v>
      </c>
      <c r="F226" s="15">
        <v>24055</v>
      </c>
      <c r="G226" s="15">
        <v>18921</v>
      </c>
    </row>
    <row r="227" spans="1:7" ht="10.5" customHeight="1" x14ac:dyDescent="0.2">
      <c r="A227" s="158" t="s">
        <v>63</v>
      </c>
      <c r="B227" s="15">
        <v>4</v>
      </c>
      <c r="C227" s="15">
        <v>4</v>
      </c>
      <c r="D227" s="15">
        <v>0</v>
      </c>
      <c r="E227" s="15">
        <v>149</v>
      </c>
      <c r="F227" s="15">
        <v>52</v>
      </c>
      <c r="G227" s="15">
        <v>97</v>
      </c>
    </row>
    <row r="228" spans="1:7" ht="10.5" customHeight="1" x14ac:dyDescent="0.2">
      <c r="A228" s="158" t="s">
        <v>62</v>
      </c>
      <c r="B228" s="15">
        <v>398</v>
      </c>
      <c r="C228" s="15">
        <v>204</v>
      </c>
      <c r="D228" s="15">
        <v>194</v>
      </c>
      <c r="E228" s="15">
        <v>12849</v>
      </c>
      <c r="F228" s="15">
        <v>6830</v>
      </c>
      <c r="G228" s="15">
        <v>6019</v>
      </c>
    </row>
    <row r="229" spans="1:7" ht="10.5" customHeight="1" x14ac:dyDescent="0.2">
      <c r="A229" s="158" t="s">
        <v>61</v>
      </c>
      <c r="B229" s="15">
        <v>369</v>
      </c>
      <c r="C229" s="15">
        <v>199</v>
      </c>
      <c r="D229" s="15">
        <v>170</v>
      </c>
      <c r="E229" s="15">
        <v>18350</v>
      </c>
      <c r="F229" s="15">
        <v>9210</v>
      </c>
      <c r="G229" s="15">
        <v>9140</v>
      </c>
    </row>
    <row r="230" spans="1:7" ht="10.5" customHeight="1" x14ac:dyDescent="0.2">
      <c r="A230" s="158" t="s">
        <v>60</v>
      </c>
      <c r="B230" s="15">
        <v>10</v>
      </c>
      <c r="C230" s="15">
        <v>6</v>
      </c>
      <c r="D230" s="15">
        <v>4</v>
      </c>
      <c r="E230" s="15">
        <v>1352</v>
      </c>
      <c r="F230" s="15">
        <v>681</v>
      </c>
      <c r="G230" s="15">
        <v>671</v>
      </c>
    </row>
    <row r="231" spans="1:7" ht="10.5" customHeight="1" x14ac:dyDescent="0.2">
      <c r="A231" s="158"/>
      <c r="B231" s="15"/>
      <c r="C231" s="15"/>
      <c r="D231" s="15"/>
      <c r="E231" s="15"/>
      <c r="F231" s="15"/>
      <c r="G231" s="15"/>
    </row>
    <row r="232" spans="1:7" ht="10.5" customHeight="1" x14ac:dyDescent="0.2">
      <c r="A232" s="130" t="s">
        <v>10</v>
      </c>
      <c r="B232" s="131">
        <v>406</v>
      </c>
      <c r="C232" s="131">
        <v>212</v>
      </c>
      <c r="D232" s="131">
        <v>194</v>
      </c>
      <c r="E232" s="131">
        <v>1154063</v>
      </c>
      <c r="F232" s="131">
        <v>557285</v>
      </c>
      <c r="G232" s="131">
        <v>596778</v>
      </c>
    </row>
    <row r="233" spans="1:7" ht="10.5" customHeight="1" x14ac:dyDescent="0.2">
      <c r="A233" s="158" t="s">
        <v>67</v>
      </c>
      <c r="B233" s="15">
        <v>5</v>
      </c>
      <c r="C233" s="15">
        <v>0</v>
      </c>
      <c r="D233" s="15">
        <v>5</v>
      </c>
      <c r="E233" s="15">
        <v>70904</v>
      </c>
      <c r="F233" s="15">
        <v>22426</v>
      </c>
      <c r="G233" s="15">
        <v>48478</v>
      </c>
    </row>
    <row r="234" spans="1:7" ht="10.5" customHeight="1" x14ac:dyDescent="0.2">
      <c r="A234" s="158" t="s">
        <v>66</v>
      </c>
      <c r="B234" s="15">
        <v>0</v>
      </c>
      <c r="C234" s="15">
        <v>0</v>
      </c>
      <c r="D234" s="15">
        <v>0</v>
      </c>
      <c r="E234" s="15">
        <v>2102</v>
      </c>
      <c r="F234" s="15">
        <v>933</v>
      </c>
      <c r="G234" s="15">
        <v>1169</v>
      </c>
    </row>
    <row r="235" spans="1:7" ht="10.5" customHeight="1" x14ac:dyDescent="0.2">
      <c r="A235" s="158" t="s">
        <v>65</v>
      </c>
      <c r="B235" s="15">
        <v>70</v>
      </c>
      <c r="C235" s="15">
        <v>30</v>
      </c>
      <c r="D235" s="15">
        <v>40</v>
      </c>
      <c r="E235" s="15">
        <v>308374</v>
      </c>
      <c r="F235" s="15">
        <v>141941</v>
      </c>
      <c r="G235" s="15">
        <v>166433</v>
      </c>
    </row>
    <row r="236" spans="1:7" ht="10.5" customHeight="1" x14ac:dyDescent="0.2">
      <c r="A236" s="158" t="s">
        <v>64</v>
      </c>
      <c r="B236" s="15">
        <v>170</v>
      </c>
      <c r="C236" s="15">
        <v>94</v>
      </c>
      <c r="D236" s="15">
        <v>76</v>
      </c>
      <c r="E236" s="15">
        <v>452711</v>
      </c>
      <c r="F236" s="15">
        <v>240463</v>
      </c>
      <c r="G236" s="15">
        <v>212248</v>
      </c>
    </row>
    <row r="237" spans="1:7" ht="10.5" customHeight="1" x14ac:dyDescent="0.2">
      <c r="A237" s="158" t="s">
        <v>63</v>
      </c>
      <c r="B237" s="15">
        <v>0</v>
      </c>
      <c r="C237" s="15">
        <v>0</v>
      </c>
      <c r="D237" s="15">
        <v>0</v>
      </c>
      <c r="E237" s="15">
        <v>1590</v>
      </c>
      <c r="F237" s="15">
        <v>644</v>
      </c>
      <c r="G237" s="15">
        <v>946</v>
      </c>
    </row>
    <row r="238" spans="1:7" ht="10.5" customHeight="1" x14ac:dyDescent="0.2">
      <c r="A238" s="158" t="s">
        <v>62</v>
      </c>
      <c r="B238" s="15">
        <v>79</v>
      </c>
      <c r="C238" s="15">
        <v>45</v>
      </c>
      <c r="D238" s="15">
        <v>34</v>
      </c>
      <c r="E238" s="15">
        <v>151908</v>
      </c>
      <c r="F238" s="15">
        <v>70763</v>
      </c>
      <c r="G238" s="15">
        <v>81145</v>
      </c>
    </row>
    <row r="239" spans="1:7" ht="10.5" customHeight="1" x14ac:dyDescent="0.2">
      <c r="A239" s="158" t="s">
        <v>61</v>
      </c>
      <c r="B239" s="15">
        <v>81</v>
      </c>
      <c r="C239" s="15">
        <v>42</v>
      </c>
      <c r="D239" s="15">
        <v>39</v>
      </c>
      <c r="E239" s="15">
        <v>157301</v>
      </c>
      <c r="F239" s="15">
        <v>75325</v>
      </c>
      <c r="G239" s="15">
        <v>81976</v>
      </c>
    </row>
    <row r="240" spans="1:7" ht="10.5" customHeight="1" x14ac:dyDescent="0.2">
      <c r="A240" s="158" t="s">
        <v>60</v>
      </c>
      <c r="B240" s="15">
        <v>1</v>
      </c>
      <c r="C240" s="15">
        <v>1</v>
      </c>
      <c r="D240" s="15">
        <v>0</v>
      </c>
      <c r="E240" s="15">
        <v>9173</v>
      </c>
      <c r="F240" s="15">
        <v>4790</v>
      </c>
      <c r="G240" s="15">
        <v>4383</v>
      </c>
    </row>
    <row r="241" spans="1:7" ht="10.5" customHeight="1" x14ac:dyDescent="0.2">
      <c r="A241" s="158"/>
      <c r="B241" s="15"/>
      <c r="C241" s="15"/>
      <c r="D241" s="15"/>
      <c r="E241" s="15"/>
      <c r="F241" s="15"/>
      <c r="G241" s="15"/>
    </row>
    <row r="242" spans="1:7" ht="10.5" customHeight="1" x14ac:dyDescent="0.2">
      <c r="A242" s="130" t="s">
        <v>9</v>
      </c>
      <c r="B242" s="131">
        <v>152</v>
      </c>
      <c r="C242" s="131">
        <v>93</v>
      </c>
      <c r="D242" s="131">
        <v>59</v>
      </c>
      <c r="E242" s="131">
        <v>77889</v>
      </c>
      <c r="F242" s="131">
        <v>40809</v>
      </c>
      <c r="G242" s="131">
        <v>37080</v>
      </c>
    </row>
    <row r="243" spans="1:7" ht="10.5" customHeight="1" x14ac:dyDescent="0.2">
      <c r="A243" s="158" t="s">
        <v>67</v>
      </c>
      <c r="B243" s="15">
        <v>1</v>
      </c>
      <c r="C243" s="15">
        <v>1</v>
      </c>
      <c r="D243" s="15">
        <v>0</v>
      </c>
      <c r="E243" s="15">
        <v>1798</v>
      </c>
      <c r="F243" s="15">
        <v>478</v>
      </c>
      <c r="G243" s="15">
        <v>1320</v>
      </c>
    </row>
    <row r="244" spans="1:7" ht="10.5" customHeight="1" x14ac:dyDescent="0.2">
      <c r="A244" s="158" t="s">
        <v>66</v>
      </c>
      <c r="B244" s="15">
        <v>2</v>
      </c>
      <c r="C244" s="15">
        <v>2</v>
      </c>
      <c r="D244" s="15">
        <v>0</v>
      </c>
      <c r="E244" s="15">
        <v>108</v>
      </c>
      <c r="F244" s="15">
        <v>48</v>
      </c>
      <c r="G244" s="15">
        <v>60</v>
      </c>
    </row>
    <row r="245" spans="1:7" ht="10.5" customHeight="1" x14ac:dyDescent="0.2">
      <c r="A245" s="158" t="s">
        <v>65</v>
      </c>
      <c r="B245" s="15">
        <v>14</v>
      </c>
      <c r="C245" s="15">
        <v>5</v>
      </c>
      <c r="D245" s="15">
        <v>9</v>
      </c>
      <c r="E245" s="15">
        <v>7243</v>
      </c>
      <c r="F245" s="15">
        <v>3116</v>
      </c>
      <c r="G245" s="15">
        <v>4127</v>
      </c>
    </row>
    <row r="246" spans="1:7" ht="10.5" customHeight="1" x14ac:dyDescent="0.2">
      <c r="A246" s="158" t="s">
        <v>64</v>
      </c>
      <c r="B246" s="15">
        <v>74</v>
      </c>
      <c r="C246" s="15">
        <v>46</v>
      </c>
      <c r="D246" s="15">
        <v>28</v>
      </c>
      <c r="E246" s="15">
        <v>29995</v>
      </c>
      <c r="F246" s="15">
        <v>16652</v>
      </c>
      <c r="G246" s="15">
        <v>13343</v>
      </c>
    </row>
    <row r="247" spans="1:7" ht="10.5" customHeight="1" x14ac:dyDescent="0.2">
      <c r="A247" s="158" t="s">
        <v>63</v>
      </c>
      <c r="B247" s="15">
        <v>0</v>
      </c>
      <c r="C247" s="15">
        <v>0</v>
      </c>
      <c r="D247" s="15">
        <v>0</v>
      </c>
      <c r="E247" s="15">
        <v>94</v>
      </c>
      <c r="F247" s="15">
        <v>43</v>
      </c>
      <c r="G247" s="15">
        <v>51</v>
      </c>
    </row>
    <row r="248" spans="1:7" ht="10.5" customHeight="1" x14ac:dyDescent="0.2">
      <c r="A248" s="158" t="s">
        <v>62</v>
      </c>
      <c r="B248" s="15">
        <v>21</v>
      </c>
      <c r="C248" s="15">
        <v>10</v>
      </c>
      <c r="D248" s="15">
        <v>11</v>
      </c>
      <c r="E248" s="15">
        <v>10517</v>
      </c>
      <c r="F248" s="15">
        <v>5616</v>
      </c>
      <c r="G248" s="15">
        <v>4901</v>
      </c>
    </row>
    <row r="249" spans="1:7" ht="10.5" customHeight="1" x14ac:dyDescent="0.2">
      <c r="A249" s="158" t="s">
        <v>61</v>
      </c>
      <c r="B249" s="15">
        <v>37</v>
      </c>
      <c r="C249" s="15">
        <v>27</v>
      </c>
      <c r="D249" s="15">
        <v>10</v>
      </c>
      <c r="E249" s="15">
        <v>25635</v>
      </c>
      <c r="F249" s="15">
        <v>13428</v>
      </c>
      <c r="G249" s="15">
        <v>12207</v>
      </c>
    </row>
    <row r="250" spans="1:7" ht="10.5" customHeight="1" x14ac:dyDescent="0.2">
      <c r="A250" s="158" t="s">
        <v>60</v>
      </c>
      <c r="B250" s="15">
        <v>3</v>
      </c>
      <c r="C250" s="15">
        <v>2</v>
      </c>
      <c r="D250" s="15">
        <v>1</v>
      </c>
      <c r="E250" s="15">
        <v>2499</v>
      </c>
      <c r="F250" s="15">
        <v>1428</v>
      </c>
      <c r="G250" s="15">
        <v>1071</v>
      </c>
    </row>
    <row r="251" spans="1:7" ht="10.5" customHeight="1" x14ac:dyDescent="0.2">
      <c r="A251" s="158"/>
      <c r="B251" s="15"/>
      <c r="C251" s="15"/>
      <c r="D251" s="15"/>
      <c r="E251" s="15"/>
      <c r="F251" s="15"/>
      <c r="G251" s="15"/>
    </row>
    <row r="252" spans="1:7" ht="10.5" customHeight="1" x14ac:dyDescent="0.2">
      <c r="A252" s="130" t="s">
        <v>8</v>
      </c>
      <c r="B252" s="131">
        <v>4304</v>
      </c>
      <c r="C252" s="131">
        <v>2153</v>
      </c>
      <c r="D252" s="131">
        <v>2151</v>
      </c>
      <c r="E252" s="131">
        <v>496291</v>
      </c>
      <c r="F252" s="131">
        <v>252061</v>
      </c>
      <c r="G252" s="131">
        <v>244230</v>
      </c>
    </row>
    <row r="253" spans="1:7" ht="10.5" customHeight="1" x14ac:dyDescent="0.2">
      <c r="A253" s="158" t="s">
        <v>67</v>
      </c>
      <c r="B253" s="15">
        <v>475</v>
      </c>
      <c r="C253" s="15">
        <v>124</v>
      </c>
      <c r="D253" s="15">
        <v>351</v>
      </c>
      <c r="E253" s="15">
        <v>27163</v>
      </c>
      <c r="F253" s="15">
        <v>8326</v>
      </c>
      <c r="G253" s="15">
        <v>18837</v>
      </c>
    </row>
    <row r="254" spans="1:7" ht="10.5" customHeight="1" x14ac:dyDescent="0.2">
      <c r="A254" s="158" t="s">
        <v>66</v>
      </c>
      <c r="B254" s="15">
        <v>20</v>
      </c>
      <c r="C254" s="15">
        <v>5</v>
      </c>
      <c r="D254" s="15">
        <v>15</v>
      </c>
      <c r="E254" s="15">
        <v>1945</v>
      </c>
      <c r="F254" s="15">
        <v>840</v>
      </c>
      <c r="G254" s="15">
        <v>1105</v>
      </c>
    </row>
    <row r="255" spans="1:7" ht="10.5" customHeight="1" x14ac:dyDescent="0.2">
      <c r="A255" s="158" t="s">
        <v>65</v>
      </c>
      <c r="B255" s="15">
        <v>1752</v>
      </c>
      <c r="C255" s="15">
        <v>841</v>
      </c>
      <c r="D255" s="15">
        <v>911</v>
      </c>
      <c r="E255" s="15">
        <v>176029</v>
      </c>
      <c r="F255" s="15">
        <v>87860</v>
      </c>
      <c r="G255" s="15">
        <v>88169</v>
      </c>
    </row>
    <row r="256" spans="1:7" ht="10.5" customHeight="1" x14ac:dyDescent="0.2">
      <c r="A256" s="158" t="s">
        <v>64</v>
      </c>
      <c r="B256" s="15">
        <v>1390</v>
      </c>
      <c r="C256" s="15">
        <v>786</v>
      </c>
      <c r="D256" s="15">
        <v>604</v>
      </c>
      <c r="E256" s="15">
        <v>185094</v>
      </c>
      <c r="F256" s="15">
        <v>101361</v>
      </c>
      <c r="G256" s="15">
        <v>83733</v>
      </c>
    </row>
    <row r="257" spans="1:7" ht="10.5" customHeight="1" x14ac:dyDescent="0.2">
      <c r="A257" s="158" t="s">
        <v>63</v>
      </c>
      <c r="B257" s="15">
        <v>5</v>
      </c>
      <c r="C257" s="15">
        <v>4</v>
      </c>
      <c r="D257" s="15">
        <v>1</v>
      </c>
      <c r="E257" s="15">
        <v>498</v>
      </c>
      <c r="F257" s="15">
        <v>196</v>
      </c>
      <c r="G257" s="15">
        <v>302</v>
      </c>
    </row>
    <row r="258" spans="1:7" ht="10.5" customHeight="1" x14ac:dyDescent="0.2">
      <c r="A258" s="158" t="s">
        <v>62</v>
      </c>
      <c r="B258" s="15">
        <v>290</v>
      </c>
      <c r="C258" s="15">
        <v>173</v>
      </c>
      <c r="D258" s="15">
        <v>117</v>
      </c>
      <c r="E258" s="15">
        <v>54220</v>
      </c>
      <c r="F258" s="15">
        <v>26259</v>
      </c>
      <c r="G258" s="15">
        <v>27961</v>
      </c>
    </row>
    <row r="259" spans="1:7" ht="10.5" customHeight="1" x14ac:dyDescent="0.2">
      <c r="A259" s="158" t="s">
        <v>61</v>
      </c>
      <c r="B259" s="15">
        <v>337</v>
      </c>
      <c r="C259" s="15">
        <v>200</v>
      </c>
      <c r="D259" s="15">
        <v>137</v>
      </c>
      <c r="E259" s="15">
        <v>47944</v>
      </c>
      <c r="F259" s="15">
        <v>25265</v>
      </c>
      <c r="G259" s="15">
        <v>22679</v>
      </c>
    </row>
    <row r="260" spans="1:7" ht="10.5" customHeight="1" x14ac:dyDescent="0.2">
      <c r="A260" s="158" t="s">
        <v>60</v>
      </c>
      <c r="B260" s="15">
        <v>35</v>
      </c>
      <c r="C260" s="15">
        <v>20</v>
      </c>
      <c r="D260" s="15">
        <v>15</v>
      </c>
      <c r="E260" s="15">
        <v>3398</v>
      </c>
      <c r="F260" s="15">
        <v>1954</v>
      </c>
      <c r="G260" s="15">
        <v>1444</v>
      </c>
    </row>
    <row r="261" spans="1:7" ht="10.5" customHeight="1" x14ac:dyDescent="0.2">
      <c r="A261" s="158"/>
      <c r="B261" s="15"/>
      <c r="C261" s="15"/>
      <c r="D261" s="15"/>
      <c r="E261" s="15"/>
      <c r="F261" s="15"/>
      <c r="G261" s="15"/>
    </row>
    <row r="262" spans="1:7" ht="10.5" customHeight="1" x14ac:dyDescent="0.2">
      <c r="A262" s="130" t="s">
        <v>7</v>
      </c>
      <c r="B262" s="131">
        <v>242</v>
      </c>
      <c r="C262" s="131">
        <v>130</v>
      </c>
      <c r="D262" s="131">
        <v>112</v>
      </c>
      <c r="E262" s="131">
        <v>144243</v>
      </c>
      <c r="F262" s="131">
        <v>71356</v>
      </c>
      <c r="G262" s="131">
        <v>72887</v>
      </c>
    </row>
    <row r="263" spans="1:7" ht="10.5" customHeight="1" x14ac:dyDescent="0.2">
      <c r="A263" s="158" t="s">
        <v>67</v>
      </c>
      <c r="B263" s="15">
        <v>0</v>
      </c>
      <c r="C263" s="15">
        <v>0</v>
      </c>
      <c r="D263" s="15">
        <v>0</v>
      </c>
      <c r="E263" s="15">
        <v>1598</v>
      </c>
      <c r="F263" s="15">
        <v>398</v>
      </c>
      <c r="G263" s="15">
        <v>1200</v>
      </c>
    </row>
    <row r="264" spans="1:7" ht="10.5" customHeight="1" x14ac:dyDescent="0.2">
      <c r="A264" s="158" t="s">
        <v>66</v>
      </c>
      <c r="B264" s="15">
        <v>0</v>
      </c>
      <c r="C264" s="15">
        <v>0</v>
      </c>
      <c r="D264" s="15">
        <v>0</v>
      </c>
      <c r="E264" s="15">
        <v>135</v>
      </c>
      <c r="F264" s="15">
        <v>58</v>
      </c>
      <c r="G264" s="15">
        <v>77</v>
      </c>
    </row>
    <row r="265" spans="1:7" ht="10.5" customHeight="1" x14ac:dyDescent="0.2">
      <c r="A265" s="158" t="s">
        <v>65</v>
      </c>
      <c r="B265" s="15">
        <v>19</v>
      </c>
      <c r="C265" s="15">
        <v>6</v>
      </c>
      <c r="D265" s="15">
        <v>13</v>
      </c>
      <c r="E265" s="15">
        <v>13032</v>
      </c>
      <c r="F265" s="15">
        <v>5340</v>
      </c>
      <c r="G265" s="15">
        <v>7692</v>
      </c>
    </row>
    <row r="266" spans="1:7" ht="10.5" customHeight="1" x14ac:dyDescent="0.2">
      <c r="A266" s="158" t="s">
        <v>64</v>
      </c>
      <c r="B266" s="15">
        <v>131</v>
      </c>
      <c r="C266" s="15">
        <v>77</v>
      </c>
      <c r="D266" s="15">
        <v>54</v>
      </c>
      <c r="E266" s="15">
        <v>59469</v>
      </c>
      <c r="F266" s="15">
        <v>31500</v>
      </c>
      <c r="G266" s="15">
        <v>27969</v>
      </c>
    </row>
    <row r="267" spans="1:7" ht="10.5" customHeight="1" x14ac:dyDescent="0.2">
      <c r="A267" s="158" t="s">
        <v>63</v>
      </c>
      <c r="B267" s="15">
        <v>0</v>
      </c>
      <c r="C267" s="15">
        <v>0</v>
      </c>
      <c r="D267" s="15">
        <v>0</v>
      </c>
      <c r="E267" s="15">
        <v>244</v>
      </c>
      <c r="F267" s="15">
        <v>111</v>
      </c>
      <c r="G267" s="15">
        <v>133</v>
      </c>
    </row>
    <row r="268" spans="1:7" ht="10.5" customHeight="1" x14ac:dyDescent="0.2">
      <c r="A268" s="158" t="s">
        <v>62</v>
      </c>
      <c r="B268" s="15">
        <v>45</v>
      </c>
      <c r="C268" s="15">
        <v>26</v>
      </c>
      <c r="D268" s="15">
        <v>19</v>
      </c>
      <c r="E268" s="15">
        <v>25175</v>
      </c>
      <c r="F268" s="15">
        <v>12182</v>
      </c>
      <c r="G268" s="15">
        <v>12993</v>
      </c>
    </row>
    <row r="269" spans="1:7" ht="10.5" customHeight="1" x14ac:dyDescent="0.2">
      <c r="A269" s="158" t="s">
        <v>61</v>
      </c>
      <c r="B269" s="15">
        <v>44</v>
      </c>
      <c r="C269" s="15">
        <v>19</v>
      </c>
      <c r="D269" s="15">
        <v>25</v>
      </c>
      <c r="E269" s="15">
        <v>40882</v>
      </c>
      <c r="F269" s="15">
        <v>19845</v>
      </c>
      <c r="G269" s="15">
        <v>21037</v>
      </c>
    </row>
    <row r="270" spans="1:7" ht="10.5" customHeight="1" x14ac:dyDescent="0.2">
      <c r="A270" s="158" t="s">
        <v>60</v>
      </c>
      <c r="B270" s="15">
        <v>3</v>
      </c>
      <c r="C270" s="15">
        <v>2</v>
      </c>
      <c r="D270" s="15">
        <v>1</v>
      </c>
      <c r="E270" s="15">
        <v>3708</v>
      </c>
      <c r="F270" s="15">
        <v>1922</v>
      </c>
      <c r="G270" s="15">
        <v>1786</v>
      </c>
    </row>
    <row r="271" spans="1:7" s="1" customFormat="1" ht="3.75" customHeight="1" thickBot="1" x14ac:dyDescent="0.3">
      <c r="A271" s="83"/>
      <c r="B271" s="74"/>
      <c r="C271" s="74"/>
      <c r="D271" s="75"/>
      <c r="E271" s="76"/>
      <c r="F271" s="76"/>
      <c r="G271" s="76"/>
    </row>
    <row r="272" spans="1:7" s="1" customFormat="1" ht="10.5" customHeight="1" x14ac:dyDescent="0.25">
      <c r="A272" s="48"/>
      <c r="B272" s="7"/>
      <c r="C272" s="7"/>
      <c r="D272" s="6"/>
      <c r="E272" s="28"/>
      <c r="F272" s="28"/>
      <c r="G272" s="7" t="s">
        <v>83</v>
      </c>
    </row>
    <row r="273" spans="1:7" ht="12.75" customHeight="1" x14ac:dyDescent="0.2">
      <c r="A273" s="222" t="str">
        <f>A$1</f>
        <v>CUADRO Nº 2.8</v>
      </c>
      <c r="B273" s="222"/>
      <c r="C273" s="222"/>
      <c r="D273" s="222"/>
      <c r="E273" s="222"/>
      <c r="F273" s="222"/>
      <c r="G273" s="222"/>
    </row>
    <row r="274" spans="1:7" ht="20.25" customHeight="1" x14ac:dyDescent="0.2">
      <c r="A274" s="226" t="str">
        <f>A$2</f>
        <v>PERÚ: POBLACIÓN CENSADA INDÍGENA U ORIGINARIA DE LA AMAZONÍA, BLANCA(O), MESTIZA(O) Y OTRA(O) DE 15 Y MÁS AÑOS DE EDAD, POR SEXO, SEGÚN NIVEL DE EDUCACIÓN ALCANZADO Y DEPARTAMENTO, 2017</v>
      </c>
      <c r="B274" s="226"/>
      <c r="C274" s="226"/>
      <c r="D274" s="226"/>
      <c r="E274" s="226"/>
      <c r="F274" s="226"/>
      <c r="G274" s="226"/>
    </row>
    <row r="275" spans="1:7" s="10" customFormat="1" ht="12.75" customHeight="1" x14ac:dyDescent="0.25">
      <c r="A275" s="215" t="str">
        <f>A$3</f>
        <v>(Cifras absolutas)</v>
      </c>
      <c r="B275" s="215"/>
      <c r="C275" s="215"/>
      <c r="D275" s="215"/>
      <c r="E275" s="215"/>
      <c r="F275" s="215"/>
      <c r="G275" s="215"/>
    </row>
    <row r="276" spans="1:7" s="10" customFormat="1" ht="10.5" customHeight="1" thickBot="1" x14ac:dyDescent="0.3">
      <c r="A276" s="47"/>
      <c r="B276" s="47"/>
      <c r="C276" s="47"/>
      <c r="D276" s="47"/>
      <c r="E276" s="47"/>
      <c r="F276" s="47"/>
      <c r="G276" s="6" t="s">
        <v>16</v>
      </c>
    </row>
    <row r="277" spans="1:7" ht="12.75" customHeight="1" thickBot="1" x14ac:dyDescent="0.25">
      <c r="A277" s="223" t="str">
        <f>A$5</f>
        <v>Nivel de educación alcanzado / Departamento</v>
      </c>
      <c r="B277" s="210" t="str">
        <f>B$5</f>
        <v>Indígena u originaria de la Amazonía</v>
      </c>
      <c r="C277" s="211"/>
      <c r="D277" s="212"/>
      <c r="E277" s="210" t="s">
        <v>116</v>
      </c>
      <c r="F277" s="211"/>
      <c r="G277" s="212"/>
    </row>
    <row r="278" spans="1:7" ht="12.75" customHeight="1" thickBot="1" x14ac:dyDescent="0.25">
      <c r="A278" s="224"/>
      <c r="B278" s="153" t="str">
        <f>B$6</f>
        <v>Total</v>
      </c>
      <c r="C278" s="154" t="str">
        <f t="shared" ref="C278:G278" si="3">C$6</f>
        <v>Hombre</v>
      </c>
      <c r="D278" s="155" t="str">
        <f t="shared" si="3"/>
        <v>Mujer</v>
      </c>
      <c r="E278" s="156" t="str">
        <f t="shared" si="3"/>
        <v>Total</v>
      </c>
      <c r="F278" s="156" t="str">
        <f t="shared" si="3"/>
        <v>Hombre</v>
      </c>
      <c r="G278" s="157" t="str">
        <f t="shared" si="3"/>
        <v>Mujer</v>
      </c>
    </row>
    <row r="279" spans="1:7" ht="3.75" customHeight="1" x14ac:dyDescent="0.2">
      <c r="A279" s="129"/>
      <c r="B279" s="149"/>
      <c r="C279" s="149"/>
      <c r="D279" s="150"/>
      <c r="E279" s="150"/>
      <c r="F279" s="150"/>
      <c r="G279" s="150"/>
    </row>
    <row r="280" spans="1:7" ht="10.5" customHeight="1" x14ac:dyDescent="0.2">
      <c r="A280" s="130" t="s">
        <v>6</v>
      </c>
      <c r="B280" s="131">
        <v>110</v>
      </c>
      <c r="C280" s="131">
        <v>75</v>
      </c>
      <c r="D280" s="131">
        <v>35</v>
      </c>
      <c r="E280" s="131">
        <v>137174</v>
      </c>
      <c r="F280" s="131">
        <v>67853</v>
      </c>
      <c r="G280" s="131">
        <v>69321</v>
      </c>
    </row>
    <row r="281" spans="1:7" ht="10.5" customHeight="1" x14ac:dyDescent="0.2">
      <c r="A281" s="158" t="s">
        <v>67</v>
      </c>
      <c r="B281" s="15">
        <v>2</v>
      </c>
      <c r="C281" s="15">
        <v>1</v>
      </c>
      <c r="D281" s="15">
        <v>1</v>
      </c>
      <c r="E281" s="15">
        <v>3074</v>
      </c>
      <c r="F281" s="15">
        <v>1268</v>
      </c>
      <c r="G281" s="15">
        <v>1806</v>
      </c>
    </row>
    <row r="282" spans="1:7" ht="10.5" customHeight="1" x14ac:dyDescent="0.2">
      <c r="A282" s="158" t="s">
        <v>66</v>
      </c>
      <c r="B282" s="15">
        <v>1</v>
      </c>
      <c r="C282" s="15">
        <v>0</v>
      </c>
      <c r="D282" s="15">
        <v>1</v>
      </c>
      <c r="E282" s="15">
        <v>328</v>
      </c>
      <c r="F282" s="15">
        <v>153</v>
      </c>
      <c r="G282" s="15">
        <v>175</v>
      </c>
    </row>
    <row r="283" spans="1:7" ht="10.5" customHeight="1" x14ac:dyDescent="0.2">
      <c r="A283" s="158" t="s">
        <v>65</v>
      </c>
      <c r="B283" s="15">
        <v>28</v>
      </c>
      <c r="C283" s="15">
        <v>20</v>
      </c>
      <c r="D283" s="15">
        <v>8</v>
      </c>
      <c r="E283" s="15">
        <v>29256</v>
      </c>
      <c r="F283" s="15">
        <v>13788</v>
      </c>
      <c r="G283" s="15">
        <v>15468</v>
      </c>
    </row>
    <row r="284" spans="1:7" ht="10.5" customHeight="1" x14ac:dyDescent="0.2">
      <c r="A284" s="158" t="s">
        <v>64</v>
      </c>
      <c r="B284" s="15">
        <v>38</v>
      </c>
      <c r="C284" s="15">
        <v>28</v>
      </c>
      <c r="D284" s="15">
        <v>10</v>
      </c>
      <c r="E284" s="15">
        <v>60581</v>
      </c>
      <c r="F284" s="15">
        <v>31789</v>
      </c>
      <c r="G284" s="15">
        <v>28792</v>
      </c>
    </row>
    <row r="285" spans="1:7" ht="10.5" customHeight="1" x14ac:dyDescent="0.2">
      <c r="A285" s="158" t="s">
        <v>63</v>
      </c>
      <c r="B285" s="15">
        <v>1</v>
      </c>
      <c r="C285" s="15">
        <v>1</v>
      </c>
      <c r="D285" s="15">
        <v>0</v>
      </c>
      <c r="E285" s="15">
        <v>232</v>
      </c>
      <c r="F285" s="15">
        <v>94</v>
      </c>
      <c r="G285" s="15">
        <v>138</v>
      </c>
    </row>
    <row r="286" spans="1:7" ht="10.5" customHeight="1" x14ac:dyDescent="0.2">
      <c r="A286" s="158" t="s">
        <v>62</v>
      </c>
      <c r="B286" s="15">
        <v>24</v>
      </c>
      <c r="C286" s="15">
        <v>17</v>
      </c>
      <c r="D286" s="15">
        <v>7</v>
      </c>
      <c r="E286" s="15">
        <v>21487</v>
      </c>
      <c r="F286" s="15">
        <v>9903</v>
      </c>
      <c r="G286" s="15">
        <v>11584</v>
      </c>
    </row>
    <row r="287" spans="1:7" ht="10.5" customHeight="1" x14ac:dyDescent="0.2">
      <c r="A287" s="158" t="s">
        <v>61</v>
      </c>
      <c r="B287" s="15">
        <v>15</v>
      </c>
      <c r="C287" s="15">
        <v>7</v>
      </c>
      <c r="D287" s="15">
        <v>8</v>
      </c>
      <c r="E287" s="15">
        <v>20724</v>
      </c>
      <c r="F287" s="15">
        <v>10052</v>
      </c>
      <c r="G287" s="15">
        <v>10672</v>
      </c>
    </row>
    <row r="288" spans="1:7" ht="10.5" customHeight="1" x14ac:dyDescent="0.2">
      <c r="A288" s="158" t="s">
        <v>60</v>
      </c>
      <c r="B288" s="15">
        <v>1</v>
      </c>
      <c r="C288" s="15">
        <v>1</v>
      </c>
      <c r="D288" s="15">
        <v>0</v>
      </c>
      <c r="E288" s="15">
        <v>1492</v>
      </c>
      <c r="F288" s="15">
        <v>806</v>
      </c>
      <c r="G288" s="15">
        <v>686</v>
      </c>
    </row>
    <row r="289" spans="1:7" ht="10.5" customHeight="1" x14ac:dyDescent="0.2">
      <c r="A289" s="158"/>
      <c r="B289" s="15"/>
      <c r="C289" s="15"/>
      <c r="D289" s="15"/>
      <c r="E289" s="15"/>
      <c r="F289" s="15"/>
      <c r="G289" s="15"/>
    </row>
    <row r="290" spans="1:7" ht="10.5" customHeight="1" x14ac:dyDescent="0.2">
      <c r="A290" s="130" t="s">
        <v>5</v>
      </c>
      <c r="B290" s="131">
        <v>32211</v>
      </c>
      <c r="C290" s="131">
        <v>15671</v>
      </c>
      <c r="D290" s="131">
        <v>16540</v>
      </c>
      <c r="E290" s="131">
        <v>268074</v>
      </c>
      <c r="F290" s="131">
        <v>134047</v>
      </c>
      <c r="G290" s="131">
        <v>134027</v>
      </c>
    </row>
    <row r="291" spans="1:7" ht="10.5" customHeight="1" x14ac:dyDescent="0.2">
      <c r="A291" s="158" t="s">
        <v>67</v>
      </c>
      <c r="B291" s="15">
        <v>5246</v>
      </c>
      <c r="C291" s="15">
        <v>1966</v>
      </c>
      <c r="D291" s="15">
        <v>3280</v>
      </c>
      <c r="E291" s="15">
        <v>5935</v>
      </c>
      <c r="F291" s="15">
        <v>2076</v>
      </c>
      <c r="G291" s="15">
        <v>3859</v>
      </c>
    </row>
    <row r="292" spans="1:7" ht="10.5" customHeight="1" x14ac:dyDescent="0.2">
      <c r="A292" s="158" t="s">
        <v>66</v>
      </c>
      <c r="B292" s="15">
        <v>84</v>
      </c>
      <c r="C292" s="15">
        <v>39</v>
      </c>
      <c r="D292" s="15">
        <v>45</v>
      </c>
      <c r="E292" s="15">
        <v>736</v>
      </c>
      <c r="F292" s="15">
        <v>350</v>
      </c>
      <c r="G292" s="15">
        <v>386</v>
      </c>
    </row>
    <row r="293" spans="1:7" ht="10.5" customHeight="1" x14ac:dyDescent="0.2">
      <c r="A293" s="158" t="s">
        <v>65</v>
      </c>
      <c r="B293" s="15">
        <v>11157</v>
      </c>
      <c r="C293" s="15">
        <v>4980</v>
      </c>
      <c r="D293" s="15">
        <v>6177</v>
      </c>
      <c r="E293" s="15">
        <v>59032</v>
      </c>
      <c r="F293" s="15">
        <v>26857</v>
      </c>
      <c r="G293" s="15">
        <v>32175</v>
      </c>
    </row>
    <row r="294" spans="1:7" ht="10.5" customHeight="1" x14ac:dyDescent="0.2">
      <c r="A294" s="158" t="s">
        <v>64</v>
      </c>
      <c r="B294" s="15">
        <v>11976</v>
      </c>
      <c r="C294" s="15">
        <v>6348</v>
      </c>
      <c r="D294" s="15">
        <v>5628</v>
      </c>
      <c r="E294" s="15">
        <v>127702</v>
      </c>
      <c r="F294" s="15">
        <v>67125</v>
      </c>
      <c r="G294" s="15">
        <v>60577</v>
      </c>
    </row>
    <row r="295" spans="1:7" ht="10.5" customHeight="1" x14ac:dyDescent="0.2">
      <c r="A295" s="158" t="s">
        <v>63</v>
      </c>
      <c r="B295" s="15">
        <v>24</v>
      </c>
      <c r="C295" s="15">
        <v>12</v>
      </c>
      <c r="D295" s="15">
        <v>12</v>
      </c>
      <c r="E295" s="15">
        <v>598</v>
      </c>
      <c r="F295" s="15">
        <v>215</v>
      </c>
      <c r="G295" s="15">
        <v>383</v>
      </c>
    </row>
    <row r="296" spans="1:7" ht="10.5" customHeight="1" x14ac:dyDescent="0.2">
      <c r="A296" s="158" t="s">
        <v>62</v>
      </c>
      <c r="B296" s="15">
        <v>1824</v>
      </c>
      <c r="C296" s="15">
        <v>1176</v>
      </c>
      <c r="D296" s="15">
        <v>648</v>
      </c>
      <c r="E296" s="15">
        <v>34619</v>
      </c>
      <c r="F296" s="15">
        <v>17131</v>
      </c>
      <c r="G296" s="15">
        <v>17488</v>
      </c>
    </row>
    <row r="297" spans="1:7" ht="10.5" customHeight="1" x14ac:dyDescent="0.2">
      <c r="A297" s="158" t="s">
        <v>61</v>
      </c>
      <c r="B297" s="15">
        <v>1830</v>
      </c>
      <c r="C297" s="15">
        <v>1106</v>
      </c>
      <c r="D297" s="15">
        <v>724</v>
      </c>
      <c r="E297" s="15">
        <v>37361</v>
      </c>
      <c r="F297" s="15">
        <v>19094</v>
      </c>
      <c r="G297" s="15">
        <v>18267</v>
      </c>
    </row>
    <row r="298" spans="1:7" ht="10.5" customHeight="1" x14ac:dyDescent="0.2">
      <c r="A298" s="158" t="s">
        <v>60</v>
      </c>
      <c r="B298" s="15">
        <v>70</v>
      </c>
      <c r="C298" s="15">
        <v>44</v>
      </c>
      <c r="D298" s="15">
        <v>26</v>
      </c>
      <c r="E298" s="15">
        <v>2091</v>
      </c>
      <c r="F298" s="15">
        <v>1199</v>
      </c>
      <c r="G298" s="15">
        <v>892</v>
      </c>
    </row>
    <row r="299" spans="1:7" ht="10.5" customHeight="1" x14ac:dyDescent="0.2">
      <c r="A299" s="158"/>
      <c r="B299" s="15"/>
      <c r="C299" s="15"/>
      <c r="D299" s="15"/>
      <c r="E299" s="15"/>
      <c r="F299" s="15"/>
      <c r="G299" s="15"/>
    </row>
    <row r="300" spans="1:7" ht="10.5" customHeight="1" x14ac:dyDescent="0.2">
      <c r="A300" s="138" t="s">
        <v>129</v>
      </c>
      <c r="B300" s="16">
        <v>14491</v>
      </c>
      <c r="C300" s="16">
        <v>6830</v>
      </c>
      <c r="D300" s="16">
        <v>7661</v>
      </c>
      <c r="E300" s="16">
        <v>5316765</v>
      </c>
      <c r="F300" s="16">
        <v>2535882</v>
      </c>
      <c r="G300" s="16">
        <v>2780883</v>
      </c>
    </row>
    <row r="301" spans="1:7" ht="10.5" customHeight="1" x14ac:dyDescent="0.2">
      <c r="A301" s="158" t="s">
        <v>67</v>
      </c>
      <c r="B301" s="15">
        <v>133</v>
      </c>
      <c r="C301" s="15">
        <v>27</v>
      </c>
      <c r="D301" s="15">
        <v>106</v>
      </c>
      <c r="E301" s="15">
        <v>49154</v>
      </c>
      <c r="F301" s="15">
        <v>13009</v>
      </c>
      <c r="G301" s="15">
        <v>36145</v>
      </c>
    </row>
    <row r="302" spans="1:7" ht="10.5" customHeight="1" x14ac:dyDescent="0.2">
      <c r="A302" s="158" t="s">
        <v>66</v>
      </c>
      <c r="B302" s="15">
        <v>21</v>
      </c>
      <c r="C302" s="15">
        <v>10</v>
      </c>
      <c r="D302" s="15">
        <v>11</v>
      </c>
      <c r="E302" s="15">
        <v>5625</v>
      </c>
      <c r="F302" s="15">
        <v>2440</v>
      </c>
      <c r="G302" s="15">
        <v>3185</v>
      </c>
    </row>
    <row r="303" spans="1:7" ht="10.5" customHeight="1" x14ac:dyDescent="0.2">
      <c r="A303" s="158" t="s">
        <v>65</v>
      </c>
      <c r="B303" s="15">
        <v>1560</v>
      </c>
      <c r="C303" s="15">
        <v>492</v>
      </c>
      <c r="D303" s="15">
        <v>1068</v>
      </c>
      <c r="E303" s="15">
        <v>464926</v>
      </c>
      <c r="F303" s="15">
        <v>172482</v>
      </c>
      <c r="G303" s="15">
        <v>292444</v>
      </c>
    </row>
    <row r="304" spans="1:7" ht="10.5" customHeight="1" x14ac:dyDescent="0.2">
      <c r="A304" s="158" t="s">
        <v>64</v>
      </c>
      <c r="B304" s="15">
        <v>7157</v>
      </c>
      <c r="C304" s="15">
        <v>3534</v>
      </c>
      <c r="D304" s="15">
        <v>3623</v>
      </c>
      <c r="E304" s="15">
        <v>2285458</v>
      </c>
      <c r="F304" s="15">
        <v>1158454</v>
      </c>
      <c r="G304" s="15">
        <v>1127004</v>
      </c>
    </row>
    <row r="305" spans="1:7" ht="10.5" customHeight="1" x14ac:dyDescent="0.2">
      <c r="A305" s="158" t="s">
        <v>63</v>
      </c>
      <c r="B305" s="15">
        <v>35</v>
      </c>
      <c r="C305" s="15">
        <v>12</v>
      </c>
      <c r="D305" s="15">
        <v>23</v>
      </c>
      <c r="E305" s="15">
        <v>17389</v>
      </c>
      <c r="F305" s="15">
        <v>6652</v>
      </c>
      <c r="G305" s="15">
        <v>10737</v>
      </c>
    </row>
    <row r="306" spans="1:7" ht="10.5" customHeight="1" x14ac:dyDescent="0.2">
      <c r="A306" s="158" t="s">
        <v>62</v>
      </c>
      <c r="B306" s="15">
        <v>2639</v>
      </c>
      <c r="C306" s="15">
        <v>1282</v>
      </c>
      <c r="D306" s="15">
        <v>1357</v>
      </c>
      <c r="E306" s="15">
        <v>990675</v>
      </c>
      <c r="F306" s="15">
        <v>443248</v>
      </c>
      <c r="G306" s="15">
        <v>547427</v>
      </c>
    </row>
    <row r="307" spans="1:7" ht="10.5" customHeight="1" x14ac:dyDescent="0.2">
      <c r="A307" s="158" t="s">
        <v>61</v>
      </c>
      <c r="B307" s="15">
        <v>2671</v>
      </c>
      <c r="C307" s="15">
        <v>1339</v>
      </c>
      <c r="D307" s="15">
        <v>1332</v>
      </c>
      <c r="E307" s="15">
        <v>1354430</v>
      </c>
      <c r="F307" s="15">
        <v>657980</v>
      </c>
      <c r="G307" s="15">
        <v>696450</v>
      </c>
    </row>
    <row r="308" spans="1:7" ht="10.5" customHeight="1" x14ac:dyDescent="0.2">
      <c r="A308" s="158" t="s">
        <v>60</v>
      </c>
      <c r="B308" s="15">
        <v>275</v>
      </c>
      <c r="C308" s="15">
        <v>134</v>
      </c>
      <c r="D308" s="15">
        <v>141</v>
      </c>
      <c r="E308" s="15">
        <v>149108</v>
      </c>
      <c r="F308" s="15">
        <v>81617</v>
      </c>
      <c r="G308" s="15">
        <v>67491</v>
      </c>
    </row>
    <row r="309" spans="1:7" ht="10.5" customHeight="1" x14ac:dyDescent="0.2">
      <c r="A309" s="158"/>
      <c r="B309" s="15"/>
      <c r="C309" s="15"/>
      <c r="D309" s="15"/>
      <c r="E309" s="15"/>
      <c r="F309" s="15"/>
      <c r="G309" s="15"/>
    </row>
    <row r="310" spans="1:7" ht="10.5" customHeight="1" x14ac:dyDescent="0.2">
      <c r="A310" s="139" t="s">
        <v>130</v>
      </c>
      <c r="B310" s="16">
        <v>501</v>
      </c>
      <c r="C310" s="16">
        <v>261</v>
      </c>
      <c r="D310" s="16">
        <v>240</v>
      </c>
      <c r="E310" s="16">
        <v>527359</v>
      </c>
      <c r="F310" s="16">
        <v>262783</v>
      </c>
      <c r="G310" s="16">
        <v>264576</v>
      </c>
    </row>
    <row r="311" spans="1:7" ht="10.5" customHeight="1" x14ac:dyDescent="0.2">
      <c r="A311" s="158" t="s">
        <v>67</v>
      </c>
      <c r="B311" s="15">
        <v>14</v>
      </c>
      <c r="C311" s="15">
        <v>5</v>
      </c>
      <c r="D311" s="15">
        <v>9</v>
      </c>
      <c r="E311" s="15">
        <v>12268</v>
      </c>
      <c r="F311" s="15">
        <v>3173</v>
      </c>
      <c r="G311" s="15">
        <v>9095</v>
      </c>
    </row>
    <row r="312" spans="1:7" ht="10.5" customHeight="1" x14ac:dyDescent="0.2">
      <c r="A312" s="158" t="s">
        <v>66</v>
      </c>
      <c r="B312" s="15">
        <v>1</v>
      </c>
      <c r="C312" s="15">
        <v>1</v>
      </c>
      <c r="D312" s="15">
        <v>0</v>
      </c>
      <c r="E312" s="15">
        <v>730</v>
      </c>
      <c r="F312" s="15">
        <v>308</v>
      </c>
      <c r="G312" s="15">
        <v>422</v>
      </c>
    </row>
    <row r="313" spans="1:7" ht="10.5" customHeight="1" x14ac:dyDescent="0.2">
      <c r="A313" s="158" t="s">
        <v>65</v>
      </c>
      <c r="B313" s="15">
        <v>71</v>
      </c>
      <c r="C313" s="15">
        <v>27</v>
      </c>
      <c r="D313" s="15">
        <v>44</v>
      </c>
      <c r="E313" s="15">
        <v>95253</v>
      </c>
      <c r="F313" s="15">
        <v>42185</v>
      </c>
      <c r="G313" s="15">
        <v>53068</v>
      </c>
    </row>
    <row r="314" spans="1:7" ht="10.5" customHeight="1" x14ac:dyDescent="0.2">
      <c r="A314" s="158" t="s">
        <v>64</v>
      </c>
      <c r="B314" s="15">
        <v>245</v>
      </c>
      <c r="C314" s="15">
        <v>136</v>
      </c>
      <c r="D314" s="15">
        <v>109</v>
      </c>
      <c r="E314" s="15">
        <v>254462</v>
      </c>
      <c r="F314" s="15">
        <v>139051</v>
      </c>
      <c r="G314" s="15">
        <v>115411</v>
      </c>
    </row>
    <row r="315" spans="1:7" ht="10.5" customHeight="1" x14ac:dyDescent="0.2">
      <c r="A315" s="158" t="s">
        <v>63</v>
      </c>
      <c r="B315" s="15">
        <v>0</v>
      </c>
      <c r="C315" s="15">
        <v>0</v>
      </c>
      <c r="D315" s="15">
        <v>0</v>
      </c>
      <c r="E315" s="15">
        <v>1008</v>
      </c>
      <c r="F315" s="15">
        <v>395</v>
      </c>
      <c r="G315" s="15">
        <v>613</v>
      </c>
    </row>
    <row r="316" spans="1:7" ht="10.5" customHeight="1" x14ac:dyDescent="0.2">
      <c r="A316" s="158" t="s">
        <v>62</v>
      </c>
      <c r="B316" s="15">
        <v>81</v>
      </c>
      <c r="C316" s="15">
        <v>45</v>
      </c>
      <c r="D316" s="15">
        <v>36</v>
      </c>
      <c r="E316" s="15">
        <v>66959</v>
      </c>
      <c r="F316" s="15">
        <v>31547</v>
      </c>
      <c r="G316" s="15">
        <v>35412</v>
      </c>
    </row>
    <row r="317" spans="1:7" ht="10.5" customHeight="1" x14ac:dyDescent="0.2">
      <c r="A317" s="158" t="s">
        <v>61</v>
      </c>
      <c r="B317" s="15">
        <v>84</v>
      </c>
      <c r="C317" s="15">
        <v>45</v>
      </c>
      <c r="D317" s="15">
        <v>39</v>
      </c>
      <c r="E317" s="15">
        <v>91386</v>
      </c>
      <c r="F317" s="15">
        <v>43474</v>
      </c>
      <c r="G317" s="15">
        <v>47912</v>
      </c>
    </row>
    <row r="318" spans="1:7" ht="10.5" customHeight="1" x14ac:dyDescent="0.2">
      <c r="A318" s="158" t="s">
        <v>60</v>
      </c>
      <c r="B318" s="15">
        <v>5</v>
      </c>
      <c r="C318" s="15">
        <v>2</v>
      </c>
      <c r="D318" s="15">
        <v>3</v>
      </c>
      <c r="E318" s="15">
        <v>5293</v>
      </c>
      <c r="F318" s="15">
        <v>2650</v>
      </c>
      <c r="G318" s="15">
        <v>2643</v>
      </c>
    </row>
    <row r="319" spans="1:7" ht="3.75" customHeight="1" thickBot="1" x14ac:dyDescent="0.3">
      <c r="A319" s="140"/>
      <c r="B319" s="141"/>
      <c r="C319" s="142"/>
      <c r="D319" s="142"/>
      <c r="E319" s="143"/>
      <c r="F319" s="142"/>
      <c r="G319" s="142"/>
    </row>
    <row r="320" spans="1:7" ht="3.75" customHeight="1" x14ac:dyDescent="0.25">
      <c r="A320" s="21"/>
      <c r="B320" s="19"/>
      <c r="C320" s="20"/>
      <c r="D320" s="20"/>
      <c r="E320" s="18"/>
      <c r="F320" s="20"/>
      <c r="G320" s="20"/>
    </row>
    <row r="321" spans="1:7" customFormat="1" ht="28.5" customHeight="1" x14ac:dyDescent="0.2">
      <c r="A321" s="221" t="s">
        <v>108</v>
      </c>
      <c r="B321" s="213"/>
      <c r="C321" s="213"/>
      <c r="D321" s="213"/>
      <c r="E321" s="213"/>
      <c r="F321" s="213"/>
      <c r="G321" s="213"/>
    </row>
    <row r="322" spans="1:7" customFormat="1" ht="13.5" x14ac:dyDescent="0.25">
      <c r="A322" s="49" t="s">
        <v>86</v>
      </c>
      <c r="B322" s="49"/>
      <c r="C322" s="49"/>
      <c r="D322" s="49"/>
      <c r="E322" s="144"/>
      <c r="F322" s="144"/>
      <c r="G322" s="144"/>
    </row>
    <row r="323" spans="1:7" customFormat="1" ht="13.5" x14ac:dyDescent="0.25">
      <c r="A323" s="49" t="s">
        <v>87</v>
      </c>
      <c r="B323" s="49"/>
      <c r="C323" s="49"/>
      <c r="D323" s="49"/>
      <c r="E323" s="145"/>
      <c r="F323" s="145"/>
      <c r="G323" s="145"/>
    </row>
    <row r="324" spans="1:7" customFormat="1" ht="25.5" customHeight="1" x14ac:dyDescent="0.25">
      <c r="A324" s="214" t="s">
        <v>118</v>
      </c>
      <c r="B324" s="213"/>
      <c r="C324" s="213"/>
      <c r="D324" s="213"/>
      <c r="E324" s="213"/>
      <c r="F324" s="213"/>
      <c r="G324" s="213"/>
    </row>
  </sheetData>
  <mergeCells count="32">
    <mergeCell ref="A273:G273"/>
    <mergeCell ref="A274:G274"/>
    <mergeCell ref="A275:G275"/>
    <mergeCell ref="A277:A278"/>
    <mergeCell ref="B277:D277"/>
    <mergeCell ref="E277:G277"/>
    <mergeCell ref="A137:G137"/>
    <mergeCell ref="A138:G138"/>
    <mergeCell ref="A209:A210"/>
    <mergeCell ref="B209:D209"/>
    <mergeCell ref="E209:G209"/>
    <mergeCell ref="A139:G139"/>
    <mergeCell ref="A141:A142"/>
    <mergeCell ref="B141:D141"/>
    <mergeCell ref="E141:G141"/>
    <mergeCell ref="A205:G205"/>
    <mergeCell ref="A321:G321"/>
    <mergeCell ref="A324:G324"/>
    <mergeCell ref="A1:G1"/>
    <mergeCell ref="A2:G2"/>
    <mergeCell ref="A5:A6"/>
    <mergeCell ref="B5:D5"/>
    <mergeCell ref="E5:G5"/>
    <mergeCell ref="A3:G3"/>
    <mergeCell ref="A69:G69"/>
    <mergeCell ref="A70:G70"/>
    <mergeCell ref="A71:G71"/>
    <mergeCell ref="A206:G206"/>
    <mergeCell ref="A207:G207"/>
    <mergeCell ref="A73:A74"/>
    <mergeCell ref="B73:D73"/>
    <mergeCell ref="E73:G73"/>
  </mergeCells>
  <pageMargins left="0.98425196850393704" right="0.98425196850393704" top="0.98425196850393704" bottom="0.98425196850393704" header="0.98425196850393704" footer="0.98425196850393704"/>
  <pageSetup paperSize="9" orientation="portrait" r:id="rId1"/>
  <rowBreaks count="4" manualBreakCount="4">
    <brk id="68" max="6" man="1"/>
    <brk id="136" max="6" man="1"/>
    <brk id="204" max="6" man="1"/>
    <brk id="272" max="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78"/>
  <sheetViews>
    <sheetView view="pageBreakPreview" zoomScale="145" zoomScaleNormal="100" zoomScaleSheetLayoutView="145" workbookViewId="0">
      <selection sqref="A1:G1"/>
    </sheetView>
  </sheetViews>
  <sheetFormatPr baseColWidth="10" defaultRowHeight="11.25" x14ac:dyDescent="0.2"/>
  <cols>
    <col min="1" max="1" width="24.5703125" style="10" customWidth="1"/>
    <col min="2" max="4" width="9.140625" style="29" customWidth="1"/>
    <col min="5" max="5" width="10.28515625" style="29" customWidth="1"/>
    <col min="6" max="6" width="9.7109375" style="29" customWidth="1"/>
    <col min="7" max="7" width="9.140625" style="29" customWidth="1"/>
    <col min="8" max="16384" width="11.42578125" style="10"/>
  </cols>
  <sheetData>
    <row r="1" spans="1:7" ht="12.75" customHeight="1" x14ac:dyDescent="0.2">
      <c r="A1" s="205" t="s">
        <v>144</v>
      </c>
      <c r="B1" s="205"/>
      <c r="C1" s="205"/>
      <c r="D1" s="205"/>
      <c r="E1" s="205"/>
      <c r="F1" s="205"/>
      <c r="G1" s="205"/>
    </row>
    <row r="2" spans="1:7" ht="30.75" customHeight="1" x14ac:dyDescent="0.2">
      <c r="A2" s="206" t="s">
        <v>128</v>
      </c>
      <c r="B2" s="206"/>
      <c r="C2" s="206"/>
      <c r="D2" s="206"/>
      <c r="E2" s="206"/>
      <c r="F2" s="206"/>
      <c r="G2" s="206"/>
    </row>
    <row r="3" spans="1:7" ht="12.75" customHeight="1" x14ac:dyDescent="0.25">
      <c r="A3" s="215" t="s">
        <v>17</v>
      </c>
      <c r="B3" s="215"/>
      <c r="C3" s="215"/>
      <c r="D3" s="215"/>
      <c r="E3" s="215"/>
      <c r="F3" s="215"/>
      <c r="G3" s="215"/>
    </row>
    <row r="4" spans="1:7" ht="10.5" customHeight="1" thickBot="1" x14ac:dyDescent="0.3">
      <c r="A4" s="47"/>
      <c r="B4" s="47"/>
      <c r="C4" s="47"/>
      <c r="D4" s="47"/>
      <c r="E4" s="47"/>
      <c r="F4" s="47"/>
      <c r="G4" s="47"/>
    </row>
    <row r="5" spans="1:7" ht="12.75" customHeight="1" thickBot="1" x14ac:dyDescent="0.25">
      <c r="A5" s="208" t="s">
        <v>97</v>
      </c>
      <c r="B5" s="210" t="s">
        <v>117</v>
      </c>
      <c r="C5" s="211"/>
      <c r="D5" s="212"/>
      <c r="E5" s="210" t="s">
        <v>116</v>
      </c>
      <c r="F5" s="211"/>
      <c r="G5" s="212"/>
    </row>
    <row r="6" spans="1:7" ht="12.75" customHeight="1" thickBot="1" x14ac:dyDescent="0.25">
      <c r="A6" s="209"/>
      <c r="B6" s="53" t="s">
        <v>15</v>
      </c>
      <c r="C6" s="54" t="s">
        <v>14</v>
      </c>
      <c r="D6" s="110" t="s">
        <v>13</v>
      </c>
      <c r="E6" s="56" t="s">
        <v>15</v>
      </c>
      <c r="F6" s="56" t="s">
        <v>14</v>
      </c>
      <c r="G6" s="111" t="s">
        <v>13</v>
      </c>
    </row>
    <row r="7" spans="1:7" ht="3.75" customHeight="1" x14ac:dyDescent="0.2">
      <c r="A7" s="146"/>
      <c r="B7" s="161"/>
      <c r="C7" s="161"/>
      <c r="D7" s="162"/>
      <c r="E7" s="162"/>
      <c r="F7" s="162"/>
      <c r="G7" s="162"/>
    </row>
    <row r="8" spans="1:7" ht="10.5" customHeight="1" x14ac:dyDescent="0.2">
      <c r="A8" s="78" t="s">
        <v>15</v>
      </c>
      <c r="B8" s="163">
        <f>SUM(B9:B10)</f>
        <v>187945</v>
      </c>
      <c r="C8" s="163">
        <f t="shared" ref="C8:D8" si="0">SUM(C9:C10)</f>
        <v>92762</v>
      </c>
      <c r="D8" s="163">
        <f t="shared" si="0"/>
        <v>95183</v>
      </c>
      <c r="E8" s="163">
        <v>15232984</v>
      </c>
      <c r="F8" s="163">
        <v>7368420</v>
      </c>
      <c r="G8" s="163">
        <v>7864564</v>
      </c>
    </row>
    <row r="9" spans="1:7" ht="10.5" customHeight="1" x14ac:dyDescent="0.25">
      <c r="A9" s="79" t="s">
        <v>80</v>
      </c>
      <c r="B9" s="164">
        <v>158124</v>
      </c>
      <c r="C9" s="164">
        <v>83130</v>
      </c>
      <c r="D9" s="164">
        <v>74994</v>
      </c>
      <c r="E9" s="164">
        <v>14633117</v>
      </c>
      <c r="F9" s="164">
        <v>7199841</v>
      </c>
      <c r="G9" s="164">
        <v>7433276</v>
      </c>
    </row>
    <row r="10" spans="1:7" ht="10.5" customHeight="1" x14ac:dyDescent="0.25">
      <c r="A10" s="79" t="s">
        <v>79</v>
      </c>
      <c r="B10" s="164">
        <v>29821</v>
      </c>
      <c r="C10" s="164">
        <v>9632</v>
      </c>
      <c r="D10" s="164">
        <v>20189</v>
      </c>
      <c r="E10" s="164">
        <v>599867</v>
      </c>
      <c r="F10" s="164">
        <v>168579</v>
      </c>
      <c r="G10" s="164">
        <v>431288</v>
      </c>
    </row>
    <row r="11" spans="1:7" ht="10.5" customHeight="1" x14ac:dyDescent="0.25">
      <c r="A11" s="79" t="s">
        <v>78</v>
      </c>
      <c r="B11" s="165">
        <f>B10/B8*100</f>
        <v>15.866875947750673</v>
      </c>
      <c r="C11" s="165">
        <f t="shared" ref="C11:G11" si="1">C10/C8*100</f>
        <v>10.383562234535693</v>
      </c>
      <c r="D11" s="165">
        <f t="shared" si="1"/>
        <v>21.210720401752415</v>
      </c>
      <c r="E11" s="165">
        <f t="shared" si="1"/>
        <v>3.937948073732632</v>
      </c>
      <c r="F11" s="165">
        <f t="shared" si="1"/>
        <v>2.2878581839797407</v>
      </c>
      <c r="G11" s="165">
        <f t="shared" si="1"/>
        <v>5.4839403684679784</v>
      </c>
    </row>
    <row r="12" spans="1:7" ht="10.5" customHeight="1" x14ac:dyDescent="0.25">
      <c r="A12" s="82"/>
      <c r="B12" s="164"/>
      <c r="C12" s="164"/>
      <c r="D12" s="164"/>
      <c r="E12" s="166"/>
      <c r="F12" s="164"/>
      <c r="G12" s="164"/>
    </row>
    <row r="13" spans="1:7" ht="10.5" customHeight="1" x14ac:dyDescent="0.2">
      <c r="A13" s="113" t="s">
        <v>37</v>
      </c>
      <c r="B13" s="167">
        <f>SUM(B14:B15)</f>
        <v>52244</v>
      </c>
      <c r="C13" s="167">
        <f t="shared" ref="C13" si="2">SUM(C14:C15)</f>
        <v>24932</v>
      </c>
      <c r="D13" s="167">
        <f t="shared" ref="D13" si="3">SUM(D14:D15)</f>
        <v>27312</v>
      </c>
      <c r="E13" s="167">
        <v>13062670</v>
      </c>
      <c r="F13" s="167">
        <v>6255111</v>
      </c>
      <c r="G13" s="167">
        <v>6807559</v>
      </c>
    </row>
    <row r="14" spans="1:7" ht="10.5" customHeight="1" x14ac:dyDescent="0.25">
      <c r="A14" s="79" t="s">
        <v>80</v>
      </c>
      <c r="B14" s="164">
        <v>50125</v>
      </c>
      <c r="C14" s="164">
        <v>24440</v>
      </c>
      <c r="D14" s="164">
        <v>25685</v>
      </c>
      <c r="E14" s="164">
        <v>12759884</v>
      </c>
      <c r="F14" s="164">
        <v>6172337</v>
      </c>
      <c r="G14" s="164">
        <v>6587547</v>
      </c>
    </row>
    <row r="15" spans="1:7" ht="10.5" customHeight="1" x14ac:dyDescent="0.25">
      <c r="A15" s="79" t="s">
        <v>79</v>
      </c>
      <c r="B15" s="164">
        <v>2119</v>
      </c>
      <c r="C15" s="164">
        <v>492</v>
      </c>
      <c r="D15" s="164">
        <v>1627</v>
      </c>
      <c r="E15" s="164">
        <v>302786</v>
      </c>
      <c r="F15" s="164">
        <v>82774</v>
      </c>
      <c r="G15" s="164">
        <v>220012</v>
      </c>
    </row>
    <row r="16" spans="1:7" ht="10.5" customHeight="1" x14ac:dyDescent="0.25">
      <c r="A16" s="79" t="s">
        <v>78</v>
      </c>
      <c r="B16" s="165">
        <f>B15/B13*100</f>
        <v>4.0559681494525686</v>
      </c>
      <c r="C16" s="165">
        <f t="shared" ref="C16" si="4">C15/C13*100</f>
        <v>1.9733675597625542</v>
      </c>
      <c r="D16" s="165">
        <f t="shared" ref="D16" si="5">D15/D13*100</f>
        <v>5.9570884592852957</v>
      </c>
      <c r="E16" s="165">
        <f t="shared" ref="E16" si="6">E15/E13*100</f>
        <v>2.3179487807622792</v>
      </c>
      <c r="F16" s="165">
        <f t="shared" ref="F16" si="7">F15/F13*100</f>
        <v>1.3233018566736865</v>
      </c>
      <c r="G16" s="165">
        <f t="shared" ref="G16" si="8">G15/G13*100</f>
        <v>3.2318779756444269</v>
      </c>
    </row>
    <row r="17" spans="1:7" ht="10.5" customHeight="1" x14ac:dyDescent="0.25">
      <c r="A17" s="82"/>
      <c r="B17" s="164"/>
      <c r="C17" s="164"/>
      <c r="D17" s="164"/>
      <c r="E17" s="166"/>
      <c r="F17" s="164"/>
      <c r="G17" s="164"/>
    </row>
    <row r="18" spans="1:7" ht="10.5" customHeight="1" x14ac:dyDescent="0.2">
      <c r="A18" s="113" t="s">
        <v>36</v>
      </c>
      <c r="B18" s="167">
        <f>SUM(B19:B20)</f>
        <v>135701</v>
      </c>
      <c r="C18" s="167">
        <f t="shared" ref="C18" si="9">SUM(C19:C20)</f>
        <v>67830</v>
      </c>
      <c r="D18" s="167">
        <f t="shared" ref="D18" si="10">SUM(D19:D20)</f>
        <v>67871</v>
      </c>
      <c r="E18" s="167">
        <v>2170314</v>
      </c>
      <c r="F18" s="167">
        <v>1113309</v>
      </c>
      <c r="G18" s="167">
        <v>1057005</v>
      </c>
    </row>
    <row r="19" spans="1:7" ht="10.5" customHeight="1" x14ac:dyDescent="0.25">
      <c r="A19" s="79" t="s">
        <v>80</v>
      </c>
      <c r="B19" s="164">
        <v>107999</v>
      </c>
      <c r="C19" s="164">
        <v>58690</v>
      </c>
      <c r="D19" s="164">
        <v>49309</v>
      </c>
      <c r="E19" s="164">
        <v>1873233</v>
      </c>
      <c r="F19" s="164">
        <v>1027504</v>
      </c>
      <c r="G19" s="164">
        <v>845729</v>
      </c>
    </row>
    <row r="20" spans="1:7" ht="10.5" customHeight="1" x14ac:dyDescent="0.25">
      <c r="A20" s="79" t="s">
        <v>79</v>
      </c>
      <c r="B20" s="164">
        <v>27702</v>
      </c>
      <c r="C20" s="164">
        <v>9140</v>
      </c>
      <c r="D20" s="164">
        <v>18562</v>
      </c>
      <c r="E20" s="164">
        <v>297081</v>
      </c>
      <c r="F20" s="164">
        <v>85805</v>
      </c>
      <c r="G20" s="164">
        <v>211276</v>
      </c>
    </row>
    <row r="21" spans="1:7" ht="10.5" customHeight="1" x14ac:dyDescent="0.25">
      <c r="A21" s="79" t="s">
        <v>78</v>
      </c>
      <c r="B21" s="165">
        <f>B20/B18*100</f>
        <v>20.413998423003516</v>
      </c>
      <c r="C21" s="165">
        <f t="shared" ref="C21" si="11">C20/C18*100</f>
        <v>13.474863629662392</v>
      </c>
      <c r="D21" s="165">
        <f t="shared" ref="D21" si="12">D20/D18*100</f>
        <v>27.348941374077295</v>
      </c>
      <c r="E21" s="165">
        <f t="shared" ref="E21" si="13">E20/E18*100</f>
        <v>13.688387947550446</v>
      </c>
      <c r="F21" s="165">
        <f t="shared" ref="F21" si="14">F20/F18*100</f>
        <v>7.707204379017865</v>
      </c>
      <c r="G21" s="165">
        <f t="shared" ref="G21" si="15">G20/G18*100</f>
        <v>19.988174133518761</v>
      </c>
    </row>
    <row r="22" spans="1:7" ht="10.5" customHeight="1" x14ac:dyDescent="0.2">
      <c r="A22" s="80"/>
      <c r="B22" s="168"/>
      <c r="C22" s="168"/>
      <c r="D22" s="168"/>
      <c r="E22" s="168"/>
      <c r="F22" s="168"/>
      <c r="G22" s="168"/>
    </row>
    <row r="23" spans="1:7" ht="10.5" customHeight="1" x14ac:dyDescent="0.2">
      <c r="A23" s="78" t="s">
        <v>35</v>
      </c>
      <c r="B23" s="163">
        <f>SUM(B24:B25)</f>
        <v>30300</v>
      </c>
      <c r="C23" s="163">
        <f t="shared" ref="C23" si="16">SUM(C24:C25)</f>
        <v>14746</v>
      </c>
      <c r="D23" s="163">
        <f t="shared" ref="D23" si="17">SUM(D24:D25)</f>
        <v>15554</v>
      </c>
      <c r="E23" s="163">
        <v>209961</v>
      </c>
      <c r="F23" s="163">
        <v>105875</v>
      </c>
      <c r="G23" s="163">
        <v>104086</v>
      </c>
    </row>
    <row r="24" spans="1:7" ht="10.5" customHeight="1" x14ac:dyDescent="0.25">
      <c r="A24" s="79" t="s">
        <v>80</v>
      </c>
      <c r="B24" s="164">
        <v>25735</v>
      </c>
      <c r="C24" s="164">
        <v>13709</v>
      </c>
      <c r="D24" s="164">
        <v>12026</v>
      </c>
      <c r="E24" s="164">
        <v>189388</v>
      </c>
      <c r="F24" s="164">
        <v>99611</v>
      </c>
      <c r="G24" s="164">
        <v>89777</v>
      </c>
    </row>
    <row r="25" spans="1:7" ht="10.5" customHeight="1" x14ac:dyDescent="0.25">
      <c r="A25" s="79" t="s">
        <v>79</v>
      </c>
      <c r="B25" s="164">
        <v>4565</v>
      </c>
      <c r="C25" s="164">
        <v>1037</v>
      </c>
      <c r="D25" s="164">
        <v>3528</v>
      </c>
      <c r="E25" s="164">
        <v>20573</v>
      </c>
      <c r="F25" s="164">
        <v>6264</v>
      </c>
      <c r="G25" s="164">
        <v>14309</v>
      </c>
    </row>
    <row r="26" spans="1:7" ht="10.5" customHeight="1" x14ac:dyDescent="0.25">
      <c r="A26" s="79" t="s">
        <v>78</v>
      </c>
      <c r="B26" s="165">
        <f>B25/B23*100</f>
        <v>15.066006600660067</v>
      </c>
      <c r="C26" s="165">
        <f t="shared" ref="C26" si="18">C25/C23*100</f>
        <v>7.0324155703241562</v>
      </c>
      <c r="D26" s="165">
        <f t="shared" ref="D26" si="19">D25/D23*100</f>
        <v>22.682268226822682</v>
      </c>
      <c r="E26" s="165">
        <f t="shared" ref="E26" si="20">E25/E23*100</f>
        <v>9.7984863855668429</v>
      </c>
      <c r="F26" s="165">
        <f t="shared" ref="F26" si="21">F25/F23*100</f>
        <v>5.9164108618654074</v>
      </c>
      <c r="G26" s="165">
        <f t="shared" ref="G26" si="22">G25/G23*100</f>
        <v>13.747285898199566</v>
      </c>
    </row>
    <row r="27" spans="1:7" ht="10.5" customHeight="1" x14ac:dyDescent="0.25">
      <c r="A27" s="82"/>
      <c r="B27" s="164"/>
      <c r="C27" s="164"/>
      <c r="D27" s="164"/>
      <c r="E27" s="169"/>
      <c r="F27" s="164"/>
      <c r="G27" s="164"/>
    </row>
    <row r="28" spans="1:7" ht="10.5" customHeight="1" x14ac:dyDescent="0.2">
      <c r="A28" s="78" t="s">
        <v>34</v>
      </c>
      <c r="B28" s="163">
        <f>SUM(B29:B30)</f>
        <v>205</v>
      </c>
      <c r="C28" s="163">
        <f t="shared" ref="C28" si="23">SUM(C29:C30)</f>
        <v>109</v>
      </c>
      <c r="D28" s="163">
        <f t="shared" ref="D28" si="24">SUM(D29:D30)</f>
        <v>96</v>
      </c>
      <c r="E28" s="163">
        <v>495439</v>
      </c>
      <c r="F28" s="163">
        <v>242624</v>
      </c>
      <c r="G28" s="163">
        <v>252815</v>
      </c>
    </row>
    <row r="29" spans="1:7" ht="10.5" customHeight="1" x14ac:dyDescent="0.25">
      <c r="A29" s="79" t="s">
        <v>80</v>
      </c>
      <c r="B29" s="164">
        <v>202</v>
      </c>
      <c r="C29" s="164">
        <v>108</v>
      </c>
      <c r="D29" s="164">
        <v>94</v>
      </c>
      <c r="E29" s="164">
        <v>465396</v>
      </c>
      <c r="F29" s="164">
        <v>234912</v>
      </c>
      <c r="G29" s="164">
        <v>230484</v>
      </c>
    </row>
    <row r="30" spans="1:7" ht="10.5" customHeight="1" x14ac:dyDescent="0.25">
      <c r="A30" s="79" t="s">
        <v>79</v>
      </c>
      <c r="B30" s="164">
        <v>3</v>
      </c>
      <c r="C30" s="164">
        <v>1</v>
      </c>
      <c r="D30" s="164">
        <v>2</v>
      </c>
      <c r="E30" s="164">
        <v>30043</v>
      </c>
      <c r="F30" s="164">
        <v>7712</v>
      </c>
      <c r="G30" s="164">
        <v>22331</v>
      </c>
    </row>
    <row r="31" spans="1:7" ht="10.5" customHeight="1" x14ac:dyDescent="0.25">
      <c r="A31" s="79" t="s">
        <v>78</v>
      </c>
      <c r="B31" s="165">
        <f>B30/B28*100</f>
        <v>1.4634146341463417</v>
      </c>
      <c r="C31" s="165">
        <f t="shared" ref="C31" si="25">C30/C28*100</f>
        <v>0.91743119266055051</v>
      </c>
      <c r="D31" s="165">
        <f t="shared" ref="D31" si="26">D30/D28*100</f>
        <v>2.083333333333333</v>
      </c>
      <c r="E31" s="165">
        <f t="shared" ref="E31" si="27">E30/E28*100</f>
        <v>6.0639150329303915</v>
      </c>
      <c r="F31" s="165">
        <f t="shared" ref="F31" si="28">F30/F28*100</f>
        <v>3.1785808493801109</v>
      </c>
      <c r="G31" s="165">
        <f t="shared" ref="G31" si="29">G30/G28*100</f>
        <v>8.8329410834009057</v>
      </c>
    </row>
    <row r="32" spans="1:7" ht="10.5" customHeight="1" x14ac:dyDescent="0.25">
      <c r="A32" s="82"/>
      <c r="B32" s="164"/>
      <c r="C32" s="164"/>
      <c r="D32" s="164"/>
      <c r="E32" s="169"/>
      <c r="F32" s="164"/>
      <c r="G32" s="164"/>
    </row>
    <row r="33" spans="1:7" ht="10.5" customHeight="1" x14ac:dyDescent="0.2">
      <c r="A33" s="78" t="s">
        <v>33</v>
      </c>
      <c r="B33" s="163">
        <f>SUM(B34:B35)</f>
        <v>137</v>
      </c>
      <c r="C33" s="163">
        <f t="shared" ref="C33" si="30">SUM(C34:C35)</f>
        <v>67</v>
      </c>
      <c r="D33" s="163">
        <f t="shared" ref="D33" si="31">SUM(D34:D35)</f>
        <v>70</v>
      </c>
      <c r="E33" s="163">
        <v>36314</v>
      </c>
      <c r="F33" s="163">
        <v>19181</v>
      </c>
      <c r="G33" s="163">
        <v>17133</v>
      </c>
    </row>
    <row r="34" spans="1:7" ht="10.5" customHeight="1" x14ac:dyDescent="0.25">
      <c r="A34" s="79" t="s">
        <v>80</v>
      </c>
      <c r="B34" s="164">
        <v>130</v>
      </c>
      <c r="C34" s="164">
        <v>65</v>
      </c>
      <c r="D34" s="164">
        <v>65</v>
      </c>
      <c r="E34" s="164">
        <v>34387</v>
      </c>
      <c r="F34" s="164">
        <v>18651</v>
      </c>
      <c r="G34" s="164">
        <v>15736</v>
      </c>
    </row>
    <row r="35" spans="1:7" ht="10.5" customHeight="1" x14ac:dyDescent="0.25">
      <c r="A35" s="79" t="s">
        <v>79</v>
      </c>
      <c r="B35" s="164">
        <v>7</v>
      </c>
      <c r="C35" s="164">
        <v>2</v>
      </c>
      <c r="D35" s="164">
        <v>5</v>
      </c>
      <c r="E35" s="164">
        <v>1927</v>
      </c>
      <c r="F35" s="164">
        <v>530</v>
      </c>
      <c r="G35" s="164">
        <v>1397</v>
      </c>
    </row>
    <row r="36" spans="1:7" ht="10.5" customHeight="1" x14ac:dyDescent="0.25">
      <c r="A36" s="79" t="s">
        <v>78</v>
      </c>
      <c r="B36" s="165">
        <f>B35/B33*100</f>
        <v>5.1094890510948909</v>
      </c>
      <c r="C36" s="165">
        <f t="shared" ref="C36" si="32">C35/C33*100</f>
        <v>2.9850746268656714</v>
      </c>
      <c r="D36" s="165">
        <f t="shared" ref="D36" si="33">D35/D33*100</f>
        <v>7.1428571428571423</v>
      </c>
      <c r="E36" s="165">
        <f t="shared" ref="E36" si="34">E35/E33*100</f>
        <v>5.3064933634410973</v>
      </c>
      <c r="F36" s="165">
        <f t="shared" ref="F36" si="35">F35/F33*100</f>
        <v>2.7631510348782649</v>
      </c>
      <c r="G36" s="165">
        <f t="shared" ref="G36" si="36">G35/G33*100</f>
        <v>8.1538551333683547</v>
      </c>
    </row>
    <row r="37" spans="1:7" ht="10.5" customHeight="1" x14ac:dyDescent="0.25">
      <c r="A37" s="82"/>
      <c r="B37" s="164"/>
      <c r="C37" s="164"/>
      <c r="D37" s="164"/>
      <c r="E37" s="169"/>
      <c r="F37" s="164"/>
      <c r="G37" s="164"/>
    </row>
    <row r="38" spans="1:7" ht="10.5" customHeight="1" x14ac:dyDescent="0.2">
      <c r="A38" s="78" t="s">
        <v>32</v>
      </c>
      <c r="B38" s="163">
        <f>SUM(B39:B40)</f>
        <v>603</v>
      </c>
      <c r="C38" s="163">
        <f t="shared" ref="C38" si="37">SUM(C39:C40)</f>
        <v>318</v>
      </c>
      <c r="D38" s="163">
        <f t="shared" ref="D38" si="38">SUM(D39:D40)</f>
        <v>285</v>
      </c>
      <c r="E38" s="163">
        <v>659381</v>
      </c>
      <c r="F38" s="163">
        <v>317839</v>
      </c>
      <c r="G38" s="163">
        <v>341542</v>
      </c>
    </row>
    <row r="39" spans="1:7" ht="10.5" customHeight="1" x14ac:dyDescent="0.25">
      <c r="A39" s="79" t="s">
        <v>80</v>
      </c>
      <c r="B39" s="164">
        <v>594</v>
      </c>
      <c r="C39" s="164">
        <v>317</v>
      </c>
      <c r="D39" s="164">
        <v>277</v>
      </c>
      <c r="E39" s="164">
        <v>650297</v>
      </c>
      <c r="F39" s="164">
        <v>315399</v>
      </c>
      <c r="G39" s="164">
        <v>334898</v>
      </c>
    </row>
    <row r="40" spans="1:7" ht="10.5" customHeight="1" x14ac:dyDescent="0.25">
      <c r="A40" s="79" t="s">
        <v>79</v>
      </c>
      <c r="B40" s="164">
        <v>9</v>
      </c>
      <c r="C40" s="164">
        <v>1</v>
      </c>
      <c r="D40" s="164">
        <v>8</v>
      </c>
      <c r="E40" s="164">
        <v>9084</v>
      </c>
      <c r="F40" s="164">
        <v>2440</v>
      </c>
      <c r="G40" s="164">
        <v>6644</v>
      </c>
    </row>
    <row r="41" spans="1:7" ht="10.5" customHeight="1" x14ac:dyDescent="0.25">
      <c r="A41" s="79" t="s">
        <v>78</v>
      </c>
      <c r="B41" s="165">
        <f>B40/B38*100</f>
        <v>1.4925373134328357</v>
      </c>
      <c r="C41" s="165">
        <f t="shared" ref="C41" si="39">C40/C38*100</f>
        <v>0.31446540880503149</v>
      </c>
      <c r="D41" s="165">
        <f t="shared" ref="D41" si="40">D40/D38*100</f>
        <v>2.807017543859649</v>
      </c>
      <c r="E41" s="165">
        <f t="shared" ref="E41" si="41">E40/E38*100</f>
        <v>1.3776557104314502</v>
      </c>
      <c r="F41" s="165">
        <f t="shared" ref="F41" si="42">F40/F38*100</f>
        <v>0.76768426782112953</v>
      </c>
      <c r="G41" s="165">
        <f t="shared" ref="G41" si="43">G40/G38*100</f>
        <v>1.9452951613564367</v>
      </c>
    </row>
    <row r="42" spans="1:7" ht="10.5" customHeight="1" x14ac:dyDescent="0.25">
      <c r="A42" s="82"/>
      <c r="B42" s="164"/>
      <c r="C42" s="164"/>
      <c r="D42" s="164"/>
      <c r="E42" s="169"/>
      <c r="F42" s="164"/>
      <c r="G42" s="164"/>
    </row>
    <row r="43" spans="1:7" ht="10.5" customHeight="1" x14ac:dyDescent="0.2">
      <c r="A43" s="78" t="s">
        <v>31</v>
      </c>
      <c r="B43" s="163">
        <f>SUM(B44:B45)</f>
        <v>290</v>
      </c>
      <c r="C43" s="163">
        <f t="shared" ref="C43" si="44">SUM(C44:C45)</f>
        <v>164</v>
      </c>
      <c r="D43" s="163">
        <f t="shared" ref="D43" si="45">SUM(D44:D45)</f>
        <v>126</v>
      </c>
      <c r="E43" s="163">
        <v>76441</v>
      </c>
      <c r="F43" s="163">
        <v>40212</v>
      </c>
      <c r="G43" s="163">
        <v>36229</v>
      </c>
    </row>
    <row r="44" spans="1:7" ht="10.5" customHeight="1" x14ac:dyDescent="0.25">
      <c r="A44" s="79" t="s">
        <v>80</v>
      </c>
      <c r="B44" s="164">
        <v>251</v>
      </c>
      <c r="C44" s="164">
        <v>150</v>
      </c>
      <c r="D44" s="164">
        <v>101</v>
      </c>
      <c r="E44" s="164">
        <v>72377</v>
      </c>
      <c r="F44" s="164">
        <v>39206</v>
      </c>
      <c r="G44" s="164">
        <v>33171</v>
      </c>
    </row>
    <row r="45" spans="1:7" ht="10.5" customHeight="1" x14ac:dyDescent="0.25">
      <c r="A45" s="79" t="s">
        <v>79</v>
      </c>
      <c r="B45" s="164">
        <v>39</v>
      </c>
      <c r="C45" s="164">
        <v>14</v>
      </c>
      <c r="D45" s="164">
        <v>25</v>
      </c>
      <c r="E45" s="164">
        <v>4064</v>
      </c>
      <c r="F45" s="164">
        <v>1006</v>
      </c>
      <c r="G45" s="164">
        <v>3058</v>
      </c>
    </row>
    <row r="46" spans="1:7" ht="10.5" customHeight="1" x14ac:dyDescent="0.25">
      <c r="A46" s="79" t="s">
        <v>78</v>
      </c>
      <c r="B46" s="165">
        <f>B45/B43*100</f>
        <v>13.448275862068964</v>
      </c>
      <c r="C46" s="165">
        <f t="shared" ref="C46" si="46">C45/C43*100</f>
        <v>8.536585365853659</v>
      </c>
      <c r="D46" s="165">
        <f t="shared" ref="D46" si="47">D45/D43*100</f>
        <v>19.841269841269842</v>
      </c>
      <c r="E46" s="165">
        <f t="shared" ref="E46" si="48">E45/E43*100</f>
        <v>5.3165186222053604</v>
      </c>
      <c r="F46" s="165">
        <f t="shared" ref="F46" si="49">F45/F43*100</f>
        <v>2.5017407738983386</v>
      </c>
      <c r="G46" s="165">
        <f t="shared" ref="G46" si="50">G45/G43*100</f>
        <v>8.4407518838499556</v>
      </c>
    </row>
    <row r="47" spans="1:7" ht="10.5" customHeight="1" x14ac:dyDescent="0.2">
      <c r="A47" s="80"/>
      <c r="B47" s="168"/>
      <c r="C47" s="168"/>
      <c r="D47" s="168"/>
      <c r="E47" s="168"/>
      <c r="F47" s="168"/>
      <c r="G47" s="168"/>
    </row>
    <row r="48" spans="1:7" ht="10.5" customHeight="1" x14ac:dyDescent="0.2">
      <c r="A48" s="78" t="s">
        <v>30</v>
      </c>
      <c r="B48" s="163">
        <f>SUM(B49:B50)</f>
        <v>1785</v>
      </c>
      <c r="C48" s="163">
        <f t="shared" ref="C48" si="51">SUM(C49:C50)</f>
        <v>864</v>
      </c>
      <c r="D48" s="163">
        <f t="shared" ref="D48" si="52">SUM(D49:D50)</f>
        <v>921</v>
      </c>
      <c r="E48" s="163">
        <v>826089</v>
      </c>
      <c r="F48" s="163">
        <v>398268</v>
      </c>
      <c r="G48" s="163">
        <v>427821</v>
      </c>
    </row>
    <row r="49" spans="1:7" ht="10.5" customHeight="1" x14ac:dyDescent="0.25">
      <c r="A49" s="79" t="s">
        <v>80</v>
      </c>
      <c r="B49" s="164">
        <v>1559</v>
      </c>
      <c r="C49" s="164">
        <v>801</v>
      </c>
      <c r="D49" s="164">
        <v>758</v>
      </c>
      <c r="E49" s="164">
        <v>706589</v>
      </c>
      <c r="F49" s="164">
        <v>367653</v>
      </c>
      <c r="G49" s="164">
        <v>338936</v>
      </c>
    </row>
    <row r="50" spans="1:7" ht="10.5" customHeight="1" x14ac:dyDescent="0.25">
      <c r="A50" s="79" t="s">
        <v>79</v>
      </c>
      <c r="B50" s="164">
        <v>226</v>
      </c>
      <c r="C50" s="164">
        <v>63</v>
      </c>
      <c r="D50" s="164">
        <v>163</v>
      </c>
      <c r="E50" s="164">
        <v>119500</v>
      </c>
      <c r="F50" s="164">
        <v>30615</v>
      </c>
      <c r="G50" s="164">
        <v>88885</v>
      </c>
    </row>
    <row r="51" spans="1:7" ht="10.5" customHeight="1" x14ac:dyDescent="0.25">
      <c r="A51" s="79" t="s">
        <v>78</v>
      </c>
      <c r="B51" s="165">
        <f>B50/B48*100</f>
        <v>12.661064425770308</v>
      </c>
      <c r="C51" s="165">
        <f t="shared" ref="C51" si="53">C50/C48*100</f>
        <v>7.291666666666667</v>
      </c>
      <c r="D51" s="165">
        <f t="shared" ref="D51" si="54">D50/D48*100</f>
        <v>17.69815418023887</v>
      </c>
      <c r="E51" s="165">
        <f t="shared" ref="E51" si="55">E50/E48*100</f>
        <v>14.465753689977715</v>
      </c>
      <c r="F51" s="165">
        <f t="shared" ref="F51" si="56">F50/F48*100</f>
        <v>7.6870348609479038</v>
      </c>
      <c r="G51" s="165">
        <f t="shared" ref="G51" si="57">G50/G48*100</f>
        <v>20.776212481388246</v>
      </c>
    </row>
    <row r="52" spans="1:7" ht="10.5" customHeight="1" x14ac:dyDescent="0.2">
      <c r="A52" s="80"/>
      <c r="B52" s="168"/>
      <c r="C52" s="168"/>
      <c r="D52" s="168"/>
      <c r="E52" s="168"/>
      <c r="F52" s="168"/>
      <c r="G52" s="168"/>
    </row>
    <row r="53" spans="1:7" ht="10.5" customHeight="1" x14ac:dyDescent="0.2">
      <c r="A53" s="81" t="s">
        <v>29</v>
      </c>
      <c r="B53" s="163">
        <f>SUM(B54:B55)</f>
        <v>1448</v>
      </c>
      <c r="C53" s="163">
        <f t="shared" ref="C53" si="58">SUM(C54:C55)</f>
        <v>665</v>
      </c>
      <c r="D53" s="163">
        <f t="shared" ref="D53" si="59">SUM(D54:D55)</f>
        <v>783</v>
      </c>
      <c r="E53" s="163">
        <v>629569</v>
      </c>
      <c r="F53" s="163">
        <v>301212</v>
      </c>
      <c r="G53" s="163">
        <v>328357</v>
      </c>
    </row>
    <row r="54" spans="1:7" ht="10.5" customHeight="1" x14ac:dyDescent="0.25">
      <c r="A54" s="79" t="s">
        <v>80</v>
      </c>
      <c r="B54" s="164">
        <v>1435</v>
      </c>
      <c r="C54" s="164">
        <v>663</v>
      </c>
      <c r="D54" s="164">
        <v>772</v>
      </c>
      <c r="E54" s="164">
        <v>622132</v>
      </c>
      <c r="F54" s="164">
        <v>299047</v>
      </c>
      <c r="G54" s="164">
        <v>323085</v>
      </c>
    </row>
    <row r="55" spans="1:7" ht="10.5" customHeight="1" x14ac:dyDescent="0.25">
      <c r="A55" s="79" t="s">
        <v>79</v>
      </c>
      <c r="B55" s="164">
        <v>13</v>
      </c>
      <c r="C55" s="164">
        <v>2</v>
      </c>
      <c r="D55" s="164">
        <v>11</v>
      </c>
      <c r="E55" s="164">
        <v>7437</v>
      </c>
      <c r="F55" s="164">
        <v>2165</v>
      </c>
      <c r="G55" s="164">
        <v>5272</v>
      </c>
    </row>
    <row r="56" spans="1:7" ht="10.5" customHeight="1" x14ac:dyDescent="0.25">
      <c r="A56" s="79" t="s">
        <v>78</v>
      </c>
      <c r="B56" s="165">
        <f>B55/B53*100</f>
        <v>0.89779005524861877</v>
      </c>
      <c r="C56" s="165">
        <f t="shared" ref="C56" si="60">C55/C53*100</f>
        <v>0.30075187969924816</v>
      </c>
      <c r="D56" s="165">
        <f t="shared" ref="D56" si="61">D55/D53*100</f>
        <v>1.40485312899106</v>
      </c>
      <c r="E56" s="165">
        <f t="shared" ref="E56" si="62">E55/E53*100</f>
        <v>1.1812843389684053</v>
      </c>
      <c r="F56" s="165">
        <f t="shared" ref="F56" si="63">F55/F53*100</f>
        <v>0.71876286469330575</v>
      </c>
      <c r="G56" s="165">
        <f t="shared" ref="G56" si="64">G55/G53*100</f>
        <v>1.6055695477787895</v>
      </c>
    </row>
    <row r="57" spans="1:7" ht="10.5" customHeight="1" x14ac:dyDescent="0.2">
      <c r="A57" s="80"/>
      <c r="B57" s="168"/>
      <c r="C57" s="168"/>
      <c r="D57" s="168"/>
      <c r="E57" s="168"/>
      <c r="F57" s="168"/>
      <c r="G57" s="168"/>
    </row>
    <row r="58" spans="1:7" ht="10.5" customHeight="1" x14ac:dyDescent="0.2">
      <c r="A58" s="78" t="s">
        <v>28</v>
      </c>
      <c r="B58" s="163">
        <f>SUM(B59:B60)</f>
        <v>6109</v>
      </c>
      <c r="C58" s="163">
        <f t="shared" ref="C58" si="65">SUM(C59:C60)</f>
        <v>3054</v>
      </c>
      <c r="D58" s="163">
        <f t="shared" ref="D58" si="66">SUM(D59:D60)</f>
        <v>3055</v>
      </c>
      <c r="E58" s="163">
        <v>207232</v>
      </c>
      <c r="F58" s="163">
        <v>104052</v>
      </c>
      <c r="G58" s="163">
        <v>103180</v>
      </c>
    </row>
    <row r="59" spans="1:7" ht="10.5" customHeight="1" x14ac:dyDescent="0.25">
      <c r="A59" s="79" t="s">
        <v>80</v>
      </c>
      <c r="B59" s="164">
        <v>4999</v>
      </c>
      <c r="C59" s="164">
        <v>2609</v>
      </c>
      <c r="D59" s="164">
        <v>2390</v>
      </c>
      <c r="E59" s="164">
        <v>201265</v>
      </c>
      <c r="F59" s="164">
        <v>102449</v>
      </c>
      <c r="G59" s="164">
        <v>98816</v>
      </c>
    </row>
    <row r="60" spans="1:7" ht="10.5" customHeight="1" x14ac:dyDescent="0.25">
      <c r="A60" s="79" t="s">
        <v>79</v>
      </c>
      <c r="B60" s="164">
        <v>1110</v>
      </c>
      <c r="C60" s="164">
        <v>445</v>
      </c>
      <c r="D60" s="164">
        <v>665</v>
      </c>
      <c r="E60" s="164">
        <v>5967</v>
      </c>
      <c r="F60" s="164">
        <v>1603</v>
      </c>
      <c r="G60" s="164">
        <v>4364</v>
      </c>
    </row>
    <row r="61" spans="1:7" ht="10.5" customHeight="1" x14ac:dyDescent="0.25">
      <c r="A61" s="79" t="s">
        <v>78</v>
      </c>
      <c r="B61" s="165">
        <f>B60/B58*100</f>
        <v>18.169913242756589</v>
      </c>
      <c r="C61" s="165">
        <f t="shared" ref="C61" si="67">C60/C58*100</f>
        <v>14.571054354944335</v>
      </c>
      <c r="D61" s="165">
        <f t="shared" ref="D61" si="68">D60/D58*100</f>
        <v>21.76759410801964</v>
      </c>
      <c r="E61" s="165">
        <f t="shared" ref="E61" si="69">E60/E58*100</f>
        <v>2.8793815626930201</v>
      </c>
      <c r="F61" s="165">
        <f t="shared" ref="F61" si="70">F60/F58*100</f>
        <v>1.5405758659131974</v>
      </c>
      <c r="G61" s="165">
        <f t="shared" ref="G61" si="71">G60/G58*100</f>
        <v>4.2295018414421399</v>
      </c>
    </row>
    <row r="62" spans="1:7" ht="10.5" customHeight="1" x14ac:dyDescent="0.25">
      <c r="A62" s="82"/>
      <c r="B62" s="164"/>
      <c r="C62" s="164"/>
      <c r="D62" s="164"/>
      <c r="E62" s="169"/>
      <c r="F62" s="164"/>
      <c r="G62" s="164"/>
    </row>
    <row r="63" spans="1:7" ht="10.5" customHeight="1" x14ac:dyDescent="0.2">
      <c r="A63" s="78" t="s">
        <v>27</v>
      </c>
      <c r="B63" s="163">
        <f>SUM(B64:B65)</f>
        <v>44</v>
      </c>
      <c r="C63" s="163">
        <f t="shared" ref="C63" si="72">SUM(C64:C65)</f>
        <v>24</v>
      </c>
      <c r="D63" s="163">
        <f t="shared" ref="D63" si="73">SUM(D64:D65)</f>
        <v>20</v>
      </c>
      <c r="E63" s="163">
        <v>45715</v>
      </c>
      <c r="F63" s="163">
        <v>23099</v>
      </c>
      <c r="G63" s="163">
        <v>22616</v>
      </c>
    </row>
    <row r="64" spans="1:7" ht="10.5" customHeight="1" x14ac:dyDescent="0.25">
      <c r="A64" s="79" t="s">
        <v>80</v>
      </c>
      <c r="B64" s="164">
        <v>44</v>
      </c>
      <c r="C64" s="164">
        <v>24</v>
      </c>
      <c r="D64" s="164">
        <v>20</v>
      </c>
      <c r="E64" s="164">
        <v>42018</v>
      </c>
      <c r="F64" s="164">
        <v>22278</v>
      </c>
      <c r="G64" s="164">
        <v>19740</v>
      </c>
    </row>
    <row r="65" spans="1:7" ht="10.5" customHeight="1" x14ac:dyDescent="0.25">
      <c r="A65" s="79" t="s">
        <v>79</v>
      </c>
      <c r="B65" s="164">
        <v>0</v>
      </c>
      <c r="C65" s="164">
        <v>0</v>
      </c>
      <c r="D65" s="164">
        <v>0</v>
      </c>
      <c r="E65" s="164">
        <v>3697</v>
      </c>
      <c r="F65" s="164">
        <v>821</v>
      </c>
      <c r="G65" s="164">
        <v>2876</v>
      </c>
    </row>
    <row r="66" spans="1:7" ht="10.5" customHeight="1" x14ac:dyDescent="0.25">
      <c r="A66" s="79" t="s">
        <v>78</v>
      </c>
      <c r="B66" s="165">
        <v>0</v>
      </c>
      <c r="C66" s="165">
        <v>0</v>
      </c>
      <c r="D66" s="165">
        <v>0</v>
      </c>
      <c r="E66" s="165">
        <f t="shared" ref="E66" si="74">E65/E63*100</f>
        <v>8.0870611396696912</v>
      </c>
      <c r="F66" s="165">
        <f t="shared" ref="F66" si="75">F65/F63*100</f>
        <v>3.5542664184596737</v>
      </c>
      <c r="G66" s="165">
        <f t="shared" ref="G66" si="76">G65/G63*100</f>
        <v>12.71666077113548</v>
      </c>
    </row>
    <row r="67" spans="1:7" s="1" customFormat="1" ht="3.75" customHeight="1" thickBot="1" x14ac:dyDescent="0.3">
      <c r="A67" s="83"/>
      <c r="B67" s="74"/>
      <c r="C67" s="74"/>
      <c r="D67" s="75"/>
      <c r="E67" s="76"/>
      <c r="F67" s="76"/>
      <c r="G67" s="76"/>
    </row>
    <row r="68" spans="1:7" s="1" customFormat="1" ht="10.5" customHeight="1" x14ac:dyDescent="0.25">
      <c r="A68" s="48"/>
      <c r="B68" s="7"/>
      <c r="C68" s="7"/>
      <c r="D68" s="6"/>
      <c r="E68" s="28"/>
      <c r="F68" s="28"/>
      <c r="G68" s="7" t="s">
        <v>83</v>
      </c>
    </row>
    <row r="69" spans="1:7" ht="12.75" customHeight="1" x14ac:dyDescent="0.2">
      <c r="A69" s="205" t="str">
        <f>A$1</f>
        <v>CUADRO Nº 2.9</v>
      </c>
      <c r="B69" s="205"/>
      <c r="C69" s="205"/>
      <c r="D69" s="205"/>
      <c r="E69" s="205"/>
      <c r="F69" s="205"/>
      <c r="G69" s="205"/>
    </row>
    <row r="70" spans="1:7" ht="20.25" customHeight="1" x14ac:dyDescent="0.2">
      <c r="A70" s="206" t="str">
        <f>A$2</f>
        <v>PERÚ: POBLACIÓN CENSADA INDÍGENA U ORIGINARIA DE LA AMAZONÍA, BLANCA(O), MESTIZA(O) Y OTRA(O) DE 15 Y MÁS AÑOS DE EDAD, POR SEXO, SEGÚN TASA DE ANALFABETISMO, ÁREA DE RESIDENCIA Y DEPARTAMENTO, 2017</v>
      </c>
      <c r="B70" s="206"/>
      <c r="C70" s="206"/>
      <c r="D70" s="206"/>
      <c r="E70" s="206"/>
      <c r="F70" s="206"/>
      <c r="G70" s="206"/>
    </row>
    <row r="71" spans="1:7" ht="12.75" customHeight="1" x14ac:dyDescent="0.25">
      <c r="A71" s="215" t="str">
        <f>A$3</f>
        <v>(Cifras absolutas)</v>
      </c>
      <c r="B71" s="215"/>
      <c r="C71" s="215"/>
      <c r="D71" s="215"/>
      <c r="E71" s="215"/>
      <c r="F71" s="215"/>
      <c r="G71" s="215"/>
    </row>
    <row r="72" spans="1:7" ht="10.5" customHeight="1" thickBot="1" x14ac:dyDescent="0.3">
      <c r="A72" s="47"/>
      <c r="B72" s="47"/>
      <c r="C72" s="47"/>
      <c r="D72" s="47"/>
      <c r="E72" s="47"/>
      <c r="F72" s="47"/>
      <c r="G72" s="47"/>
    </row>
    <row r="73" spans="1:7" ht="12.75" customHeight="1" thickBot="1" x14ac:dyDescent="0.25">
      <c r="A73" s="208" t="str">
        <f>A$5</f>
        <v>Tasa de analfabetismo / Área de residencia y departamento</v>
      </c>
      <c r="B73" s="230" t="str">
        <f>B$5</f>
        <v>Indígena u originaria de la Amazonía</v>
      </c>
      <c r="C73" s="231"/>
      <c r="D73" s="232"/>
      <c r="E73" s="210" t="s">
        <v>116</v>
      </c>
      <c r="F73" s="211"/>
      <c r="G73" s="212"/>
    </row>
    <row r="74" spans="1:7" ht="12.75" customHeight="1" thickBot="1" x14ac:dyDescent="0.25">
      <c r="A74" s="209"/>
      <c r="B74" s="56" t="str">
        <f>B$6</f>
        <v>Total</v>
      </c>
      <c r="C74" s="56" t="str">
        <f>C$6</f>
        <v>Hombre</v>
      </c>
      <c r="D74" s="56" t="str">
        <f t="shared" ref="D74:G74" si="77">D$6</f>
        <v>Mujer</v>
      </c>
      <c r="E74" s="53" t="str">
        <f t="shared" si="77"/>
        <v>Total</v>
      </c>
      <c r="F74" s="54" t="str">
        <f t="shared" si="77"/>
        <v>Hombre</v>
      </c>
      <c r="G74" s="110" t="str">
        <f t="shared" si="77"/>
        <v>Mujer</v>
      </c>
    </row>
    <row r="75" spans="1:7" ht="3.75" customHeight="1" x14ac:dyDescent="0.2">
      <c r="A75" s="77"/>
      <c r="B75" s="14"/>
      <c r="C75" s="14"/>
      <c r="D75" s="46"/>
      <c r="E75" s="46"/>
      <c r="F75" s="46"/>
      <c r="G75" s="46"/>
    </row>
    <row r="76" spans="1:7" ht="10.5" customHeight="1" x14ac:dyDescent="0.2">
      <c r="A76" s="78" t="s">
        <v>26</v>
      </c>
      <c r="B76" s="163">
        <f>SUM(B77:B78)</f>
        <v>1996</v>
      </c>
      <c r="C76" s="163">
        <f t="shared" ref="C76" si="78">SUM(C77:C78)</f>
        <v>985</v>
      </c>
      <c r="D76" s="163">
        <f t="shared" ref="D76" si="79">SUM(D77:D78)</f>
        <v>1011</v>
      </c>
      <c r="E76" s="170">
        <v>272333</v>
      </c>
      <c r="F76" s="170">
        <v>135094</v>
      </c>
      <c r="G76" s="170">
        <v>137239</v>
      </c>
    </row>
    <row r="77" spans="1:7" ht="10.5" customHeight="1" x14ac:dyDescent="0.25">
      <c r="A77" s="79" t="s">
        <v>80</v>
      </c>
      <c r="B77" s="164">
        <v>1746</v>
      </c>
      <c r="C77" s="164">
        <v>915</v>
      </c>
      <c r="D77" s="164">
        <v>831</v>
      </c>
      <c r="E77" s="11">
        <v>250457</v>
      </c>
      <c r="F77" s="11">
        <v>128827</v>
      </c>
      <c r="G77" s="11">
        <v>121630</v>
      </c>
    </row>
    <row r="78" spans="1:7" ht="10.5" customHeight="1" x14ac:dyDescent="0.25">
      <c r="A78" s="79" t="s">
        <v>79</v>
      </c>
      <c r="B78" s="164">
        <v>250</v>
      </c>
      <c r="C78" s="164">
        <v>70</v>
      </c>
      <c r="D78" s="164">
        <v>180</v>
      </c>
      <c r="E78" s="11">
        <v>21876</v>
      </c>
      <c r="F78" s="11">
        <v>6267</v>
      </c>
      <c r="G78" s="11">
        <v>15609</v>
      </c>
    </row>
    <row r="79" spans="1:7" ht="10.5" customHeight="1" x14ac:dyDescent="0.25">
      <c r="A79" s="79" t="s">
        <v>78</v>
      </c>
      <c r="B79" s="165">
        <f>B78/B76*100</f>
        <v>12.525050100200399</v>
      </c>
      <c r="C79" s="165">
        <f t="shared" ref="C79" si="80">C78/C76*100</f>
        <v>7.1065989847715745</v>
      </c>
      <c r="D79" s="165">
        <f t="shared" ref="D79" si="81">D78/D76*100</f>
        <v>17.804154302670625</v>
      </c>
      <c r="E79" s="25">
        <f t="shared" ref="E79" si="82">E78/E76*100</f>
        <v>8.0328127696606728</v>
      </c>
      <c r="F79" s="25">
        <f t="shared" ref="F79" si="83">F78/F76*100</f>
        <v>4.6389921091980399</v>
      </c>
      <c r="G79" s="25">
        <f t="shared" ref="G79" si="84">G78/G76*100</f>
        <v>11.373589140113232</v>
      </c>
    </row>
    <row r="80" spans="1:7" ht="10.5" customHeight="1" x14ac:dyDescent="0.25">
      <c r="A80" s="82"/>
      <c r="B80" s="164"/>
      <c r="C80" s="164"/>
      <c r="D80" s="164"/>
      <c r="E80" s="27"/>
      <c r="F80" s="11"/>
      <c r="G80" s="11"/>
    </row>
    <row r="81" spans="1:7" ht="10.5" customHeight="1" x14ac:dyDescent="0.2">
      <c r="A81" s="78" t="s">
        <v>25</v>
      </c>
      <c r="B81" s="163">
        <f>SUM(B82:B83)</f>
        <v>797</v>
      </c>
      <c r="C81" s="163">
        <f t="shared" ref="C81" si="85">SUM(C82:C83)</f>
        <v>431</v>
      </c>
      <c r="D81" s="163">
        <f t="shared" ref="D81" si="86">SUM(D82:D83)</f>
        <v>366</v>
      </c>
      <c r="E81" s="170">
        <v>493704</v>
      </c>
      <c r="F81" s="170">
        <v>239344</v>
      </c>
      <c r="G81" s="170">
        <v>254360</v>
      </c>
    </row>
    <row r="82" spans="1:7" ht="10.5" customHeight="1" x14ac:dyDescent="0.25">
      <c r="A82" s="79" t="s">
        <v>80</v>
      </c>
      <c r="B82" s="164">
        <v>782</v>
      </c>
      <c r="C82" s="164">
        <v>425</v>
      </c>
      <c r="D82" s="164">
        <v>357</v>
      </c>
      <c r="E82" s="11">
        <v>485180</v>
      </c>
      <c r="F82" s="11">
        <v>236640</v>
      </c>
      <c r="G82" s="11">
        <v>248540</v>
      </c>
    </row>
    <row r="83" spans="1:7" ht="10.5" customHeight="1" x14ac:dyDescent="0.25">
      <c r="A83" s="79" t="s">
        <v>79</v>
      </c>
      <c r="B83" s="164">
        <v>15</v>
      </c>
      <c r="C83" s="164">
        <v>6</v>
      </c>
      <c r="D83" s="164">
        <v>9</v>
      </c>
      <c r="E83" s="11">
        <v>8524</v>
      </c>
      <c r="F83" s="11">
        <v>2704</v>
      </c>
      <c r="G83" s="11">
        <v>5820</v>
      </c>
    </row>
    <row r="84" spans="1:7" ht="10.5" customHeight="1" x14ac:dyDescent="0.25">
      <c r="A84" s="79" t="s">
        <v>78</v>
      </c>
      <c r="B84" s="165">
        <f>B83/B81*100</f>
        <v>1.8820577164366372</v>
      </c>
      <c r="C84" s="165">
        <f t="shared" ref="C84" si="87">C83/C81*100</f>
        <v>1.3921113689095126</v>
      </c>
      <c r="D84" s="165">
        <f t="shared" ref="D84" si="88">D83/D81*100</f>
        <v>2.459016393442623</v>
      </c>
      <c r="E84" s="25">
        <f t="shared" ref="E84" si="89">E83/E81*100</f>
        <v>1.7265405992254468</v>
      </c>
      <c r="F84" s="25">
        <f t="shared" ref="F84" si="90">F83/F81*100</f>
        <v>1.1297546627448358</v>
      </c>
      <c r="G84" s="25">
        <f t="shared" ref="G84" si="91">G83/G81*100</f>
        <v>2.2880956125176914</v>
      </c>
    </row>
    <row r="85" spans="1:7" ht="10.5" customHeight="1" x14ac:dyDescent="0.25">
      <c r="A85" s="82"/>
      <c r="B85" s="164"/>
      <c r="C85" s="164"/>
      <c r="D85" s="164"/>
      <c r="E85" s="27"/>
      <c r="F85" s="11"/>
      <c r="G85" s="11"/>
    </row>
    <row r="86" spans="1:7" ht="10.5" customHeight="1" x14ac:dyDescent="0.2">
      <c r="A86" s="78" t="s">
        <v>24</v>
      </c>
      <c r="B86" s="163">
        <f>SUM(B87:B88)</f>
        <v>31206</v>
      </c>
      <c r="C86" s="163">
        <f t="shared" ref="C86" si="92">SUM(C87:C88)</f>
        <v>15557</v>
      </c>
      <c r="D86" s="163">
        <f t="shared" ref="D86" si="93">SUM(D87:D88)</f>
        <v>15649</v>
      </c>
      <c r="E86" s="170">
        <v>535793</v>
      </c>
      <c r="F86" s="170">
        <v>258439</v>
      </c>
      <c r="G86" s="170">
        <v>277354</v>
      </c>
    </row>
    <row r="87" spans="1:7" ht="10.5" customHeight="1" x14ac:dyDescent="0.25">
      <c r="A87" s="79" t="s">
        <v>80</v>
      </c>
      <c r="B87" s="164">
        <v>25369</v>
      </c>
      <c r="C87" s="164">
        <v>13407</v>
      </c>
      <c r="D87" s="164">
        <v>11962</v>
      </c>
      <c r="E87" s="11">
        <v>513715</v>
      </c>
      <c r="F87" s="11">
        <v>253629</v>
      </c>
      <c r="G87" s="11">
        <v>260086</v>
      </c>
    </row>
    <row r="88" spans="1:7" ht="10.5" customHeight="1" x14ac:dyDescent="0.25">
      <c r="A88" s="79" t="s">
        <v>79</v>
      </c>
      <c r="B88" s="164">
        <v>5837</v>
      </c>
      <c r="C88" s="164">
        <v>2150</v>
      </c>
      <c r="D88" s="164">
        <v>3687</v>
      </c>
      <c r="E88" s="11">
        <v>22078</v>
      </c>
      <c r="F88" s="11">
        <v>4810</v>
      </c>
      <c r="G88" s="11">
        <v>17268</v>
      </c>
    </row>
    <row r="89" spans="1:7" ht="10.5" customHeight="1" x14ac:dyDescent="0.25">
      <c r="A89" s="79" t="s">
        <v>78</v>
      </c>
      <c r="B89" s="165">
        <f>B88/B86*100</f>
        <v>18.704736268666284</v>
      </c>
      <c r="C89" s="165">
        <f t="shared" ref="C89" si="94">C88/C86*100</f>
        <v>13.820145272224721</v>
      </c>
      <c r="D89" s="165">
        <f t="shared" ref="D89" si="95">D88/D86*100</f>
        <v>23.560610901655057</v>
      </c>
      <c r="E89" s="25">
        <f t="shared" ref="E89" si="96">E88/E86*100</f>
        <v>4.1206212100568695</v>
      </c>
      <c r="F89" s="25">
        <f t="shared" ref="F89" si="97">F88/F86*100</f>
        <v>1.8611742035838243</v>
      </c>
      <c r="G89" s="25">
        <f t="shared" ref="G89" si="98">G88/G86*100</f>
        <v>6.2259783525746881</v>
      </c>
    </row>
    <row r="90" spans="1:7" ht="10.5" customHeight="1" x14ac:dyDescent="0.2">
      <c r="A90" s="82"/>
      <c r="B90" s="168"/>
      <c r="C90" s="168"/>
      <c r="D90" s="168"/>
      <c r="E90" s="171"/>
      <c r="F90" s="171"/>
      <c r="G90" s="171"/>
    </row>
    <row r="91" spans="1:7" ht="10.5" customHeight="1" x14ac:dyDescent="0.2">
      <c r="A91" s="78" t="s">
        <v>23</v>
      </c>
      <c r="B91" s="163">
        <f>SUM(B92:B93)</f>
        <v>787</v>
      </c>
      <c r="C91" s="163">
        <f t="shared" ref="C91" si="99">SUM(C92:C93)</f>
        <v>412</v>
      </c>
      <c r="D91" s="163">
        <f t="shared" ref="D91" si="100">SUM(D92:D93)</f>
        <v>375</v>
      </c>
      <c r="E91" s="170">
        <v>1146331</v>
      </c>
      <c r="F91" s="170">
        <v>544816</v>
      </c>
      <c r="G91" s="170">
        <v>601515</v>
      </c>
    </row>
    <row r="92" spans="1:7" ht="10.5" customHeight="1" x14ac:dyDescent="0.25">
      <c r="A92" s="79" t="s">
        <v>80</v>
      </c>
      <c r="B92" s="164">
        <v>781</v>
      </c>
      <c r="C92" s="164">
        <v>410</v>
      </c>
      <c r="D92" s="164">
        <v>371</v>
      </c>
      <c r="E92" s="11">
        <v>1071782</v>
      </c>
      <c r="F92" s="11">
        <v>525729</v>
      </c>
      <c r="G92" s="11">
        <v>546053</v>
      </c>
    </row>
    <row r="93" spans="1:7" ht="10.5" customHeight="1" x14ac:dyDescent="0.25">
      <c r="A93" s="79" t="s">
        <v>79</v>
      </c>
      <c r="B93" s="164">
        <v>6</v>
      </c>
      <c r="C93" s="164">
        <v>2</v>
      </c>
      <c r="D93" s="164">
        <v>4</v>
      </c>
      <c r="E93" s="11">
        <v>74549</v>
      </c>
      <c r="F93" s="11">
        <v>19087</v>
      </c>
      <c r="G93" s="11">
        <v>55462</v>
      </c>
    </row>
    <row r="94" spans="1:7" ht="10.5" customHeight="1" x14ac:dyDescent="0.25">
      <c r="A94" s="79" t="s">
        <v>78</v>
      </c>
      <c r="B94" s="165">
        <f>B93/B91*100</f>
        <v>0.76238881829733163</v>
      </c>
      <c r="C94" s="165">
        <f t="shared" ref="C94" si="101">C93/C91*100</f>
        <v>0.48543689320388345</v>
      </c>
      <c r="D94" s="165">
        <f t="shared" ref="D94" si="102">D93/D91*100</f>
        <v>1.0666666666666667</v>
      </c>
      <c r="E94" s="25">
        <f t="shared" ref="E94" si="103">E93/E91*100</f>
        <v>6.5032699979325344</v>
      </c>
      <c r="F94" s="25">
        <f t="shared" ref="F94" si="104">F93/F91*100</f>
        <v>3.5033846289389445</v>
      </c>
      <c r="G94" s="25">
        <f t="shared" ref="G94" si="105">G93/G91*100</f>
        <v>9.220385194051687</v>
      </c>
    </row>
    <row r="95" spans="1:7" ht="10.5" customHeight="1" x14ac:dyDescent="0.25">
      <c r="A95" s="82"/>
      <c r="B95" s="164"/>
      <c r="C95" s="164"/>
      <c r="D95" s="164"/>
      <c r="E95" s="12"/>
      <c r="F95" s="11"/>
      <c r="G95" s="11"/>
    </row>
    <row r="96" spans="1:7" ht="10.5" customHeight="1" x14ac:dyDescent="0.2">
      <c r="A96" s="78" t="s">
        <v>22</v>
      </c>
      <c r="B96" s="163">
        <f>SUM(B97:B98)</f>
        <v>663</v>
      </c>
      <c r="C96" s="163">
        <f t="shared" ref="C96" si="106">SUM(C97:C98)</f>
        <v>295</v>
      </c>
      <c r="D96" s="163">
        <f t="shared" ref="D96" si="107">SUM(D97:D98)</f>
        <v>368</v>
      </c>
      <c r="E96" s="170">
        <v>759920</v>
      </c>
      <c r="F96" s="170">
        <v>356760</v>
      </c>
      <c r="G96" s="170">
        <v>403160</v>
      </c>
    </row>
    <row r="97" spans="1:7" ht="10.5" customHeight="1" x14ac:dyDescent="0.25">
      <c r="A97" s="79" t="s">
        <v>80</v>
      </c>
      <c r="B97" s="164">
        <v>642</v>
      </c>
      <c r="C97" s="164">
        <v>290</v>
      </c>
      <c r="D97" s="164">
        <v>352</v>
      </c>
      <c r="E97" s="11">
        <v>723290</v>
      </c>
      <c r="F97" s="11">
        <v>346319</v>
      </c>
      <c r="G97" s="11">
        <v>376971</v>
      </c>
    </row>
    <row r="98" spans="1:7" ht="10.5" customHeight="1" x14ac:dyDescent="0.25">
      <c r="A98" s="79" t="s">
        <v>79</v>
      </c>
      <c r="B98" s="164">
        <v>21</v>
      </c>
      <c r="C98" s="164">
        <v>5</v>
      </c>
      <c r="D98" s="164">
        <v>16</v>
      </c>
      <c r="E98" s="11">
        <v>36630</v>
      </c>
      <c r="F98" s="11">
        <v>10441</v>
      </c>
      <c r="G98" s="11">
        <v>26189</v>
      </c>
    </row>
    <row r="99" spans="1:7" ht="10.5" customHeight="1" x14ac:dyDescent="0.25">
      <c r="A99" s="79" t="s">
        <v>78</v>
      </c>
      <c r="B99" s="165">
        <f>B98/B96*100</f>
        <v>3.1674208144796379</v>
      </c>
      <c r="C99" s="165">
        <f t="shared" ref="C99" si="108">C98/C96*100</f>
        <v>1.6949152542372881</v>
      </c>
      <c r="D99" s="165">
        <f t="shared" ref="D99" si="109">D98/D96*100</f>
        <v>4.3478260869565215</v>
      </c>
      <c r="E99" s="25">
        <f t="shared" ref="E99" si="110">E98/E96*100</f>
        <v>4.8202442362353928</v>
      </c>
      <c r="F99" s="25">
        <f t="shared" ref="F99" si="111">F98/F96*100</f>
        <v>2.926617333781814</v>
      </c>
      <c r="G99" s="25">
        <f t="shared" ref="G99" si="112">G98/G96*100</f>
        <v>6.4959321361246154</v>
      </c>
    </row>
    <row r="100" spans="1:7" ht="10.5" customHeight="1" x14ac:dyDescent="0.25">
      <c r="A100" s="82"/>
      <c r="B100" s="164"/>
      <c r="C100" s="164"/>
      <c r="D100" s="164"/>
      <c r="E100" s="12"/>
      <c r="F100" s="11"/>
      <c r="G100" s="11"/>
    </row>
    <row r="101" spans="1:7" ht="10.5" customHeight="1" x14ac:dyDescent="0.2">
      <c r="A101" s="78" t="s">
        <v>21</v>
      </c>
      <c r="B101" s="163">
        <f>SUM(B102:B103)</f>
        <v>14992</v>
      </c>
      <c r="C101" s="163">
        <f t="shared" ref="C101" si="113">SUM(C102:C103)</f>
        <v>7091</v>
      </c>
      <c r="D101" s="163">
        <f t="shared" ref="D101" si="114">SUM(D102:D103)</f>
        <v>7901</v>
      </c>
      <c r="E101" s="170">
        <v>5844124</v>
      </c>
      <c r="F101" s="170">
        <v>2798665</v>
      </c>
      <c r="G101" s="170">
        <v>3045459</v>
      </c>
    </row>
    <row r="102" spans="1:7" ht="10.5" customHeight="1" x14ac:dyDescent="0.25">
      <c r="A102" s="79" t="s">
        <v>80</v>
      </c>
      <c r="B102" s="164">
        <v>14824</v>
      </c>
      <c r="C102" s="164">
        <v>7052</v>
      </c>
      <c r="D102" s="164">
        <v>7772</v>
      </c>
      <c r="E102" s="11">
        <v>5768091</v>
      </c>
      <c r="F102" s="11">
        <v>2778233</v>
      </c>
      <c r="G102" s="11">
        <v>2989858</v>
      </c>
    </row>
    <row r="103" spans="1:7" ht="10.5" customHeight="1" x14ac:dyDescent="0.25">
      <c r="A103" s="79" t="s">
        <v>79</v>
      </c>
      <c r="B103" s="164">
        <v>168</v>
      </c>
      <c r="C103" s="164">
        <v>39</v>
      </c>
      <c r="D103" s="164">
        <v>129</v>
      </c>
      <c r="E103" s="11">
        <v>76033</v>
      </c>
      <c r="F103" s="11">
        <v>20432</v>
      </c>
      <c r="G103" s="11">
        <v>55601</v>
      </c>
    </row>
    <row r="104" spans="1:7" ht="10.5" customHeight="1" x14ac:dyDescent="0.25">
      <c r="A104" s="79" t="s">
        <v>78</v>
      </c>
      <c r="B104" s="165">
        <f>B103/B101*100</f>
        <v>1.1205976520811098</v>
      </c>
      <c r="C104" s="165">
        <f t="shared" ref="C104" si="115">C103/C101*100</f>
        <v>0.54999294880834859</v>
      </c>
      <c r="D104" s="165">
        <f t="shared" ref="D104" si="116">D103/D101*100</f>
        <v>1.6327047209214023</v>
      </c>
      <c r="E104" s="25">
        <f t="shared" ref="E104" si="117">E103/E101*100</f>
        <v>1.3010162002038286</v>
      </c>
      <c r="F104" s="25">
        <f t="shared" ref="F104" si="118">F103/F101*100</f>
        <v>0.73006236902237309</v>
      </c>
      <c r="G104" s="25">
        <f t="shared" ref="G104" si="119">G103/G101*100</f>
        <v>1.8257018071824314</v>
      </c>
    </row>
    <row r="105" spans="1:7" ht="10.5" customHeight="1" x14ac:dyDescent="0.25">
      <c r="A105" s="82"/>
      <c r="B105" s="164"/>
      <c r="C105" s="164"/>
      <c r="D105" s="164"/>
      <c r="E105" s="12"/>
      <c r="F105" s="11"/>
      <c r="G105" s="11"/>
    </row>
    <row r="106" spans="1:7" ht="10.5" customHeight="1" x14ac:dyDescent="0.2">
      <c r="A106" s="78" t="s">
        <v>20</v>
      </c>
      <c r="B106" s="163">
        <f>SUM(B107:B108)</f>
        <v>45084</v>
      </c>
      <c r="C106" s="163">
        <f t="shared" ref="C106" si="120">SUM(C107:C108)</f>
        <v>22641</v>
      </c>
      <c r="D106" s="163">
        <f t="shared" ref="D106" si="121">SUM(D107:D108)</f>
        <v>22443</v>
      </c>
      <c r="E106" s="170">
        <v>482466</v>
      </c>
      <c r="F106" s="170">
        <v>239766</v>
      </c>
      <c r="G106" s="170">
        <v>242700</v>
      </c>
    </row>
    <row r="107" spans="1:7" ht="10.5" customHeight="1" x14ac:dyDescent="0.25">
      <c r="A107" s="79" t="s">
        <v>80</v>
      </c>
      <c r="B107" s="164">
        <v>35689</v>
      </c>
      <c r="C107" s="164">
        <v>19774</v>
      </c>
      <c r="D107" s="164">
        <v>15915</v>
      </c>
      <c r="E107" s="11">
        <v>464297</v>
      </c>
      <c r="F107" s="11">
        <v>233891</v>
      </c>
      <c r="G107" s="11">
        <v>230406</v>
      </c>
    </row>
    <row r="108" spans="1:7" ht="10.5" customHeight="1" x14ac:dyDescent="0.25">
      <c r="A108" s="79" t="s">
        <v>79</v>
      </c>
      <c r="B108" s="164">
        <v>9395</v>
      </c>
      <c r="C108" s="164">
        <v>2867</v>
      </c>
      <c r="D108" s="164">
        <v>6528</v>
      </c>
      <c r="E108" s="11">
        <v>18169</v>
      </c>
      <c r="F108" s="11">
        <v>5875</v>
      </c>
      <c r="G108" s="11">
        <v>12294</v>
      </c>
    </row>
    <row r="109" spans="1:7" ht="10.5" customHeight="1" x14ac:dyDescent="0.25">
      <c r="A109" s="79" t="s">
        <v>78</v>
      </c>
      <c r="B109" s="165">
        <f>B108/B106*100</f>
        <v>20.838878537840476</v>
      </c>
      <c r="C109" s="165">
        <f t="shared" ref="C109" si="122">C108/C106*100</f>
        <v>12.662868247868911</v>
      </c>
      <c r="D109" s="165">
        <f t="shared" ref="D109" si="123">D108/D106*100</f>
        <v>29.087020451811256</v>
      </c>
      <c r="E109" s="25">
        <f t="shared" ref="E109" si="124">E108/E106*100</f>
        <v>3.7658612213088589</v>
      </c>
      <c r="F109" s="25">
        <f t="shared" ref="F109" si="125">F108/F106*100</f>
        <v>2.4503057147385365</v>
      </c>
      <c r="G109" s="25">
        <f t="shared" ref="G109" si="126">G108/G106*100</f>
        <v>5.0655129789864031</v>
      </c>
    </row>
    <row r="110" spans="1:7" ht="10.5" customHeight="1" x14ac:dyDescent="0.25">
      <c r="A110" s="82"/>
      <c r="B110" s="164"/>
      <c r="C110" s="164"/>
      <c r="D110" s="164"/>
      <c r="E110" s="12"/>
      <c r="F110" s="11"/>
      <c r="G110" s="11"/>
    </row>
    <row r="111" spans="1:7" ht="10.5" customHeight="1" x14ac:dyDescent="0.2">
      <c r="A111" s="81" t="s">
        <v>19</v>
      </c>
      <c r="B111" s="163">
        <f>SUM(B112:B113)</f>
        <v>3145</v>
      </c>
      <c r="C111" s="163">
        <f t="shared" ref="C111" si="127">SUM(C112:C113)</f>
        <v>1600</v>
      </c>
      <c r="D111" s="163">
        <f t="shared" ref="D111" si="128">SUM(D112:D113)</f>
        <v>1545</v>
      </c>
      <c r="E111" s="170">
        <v>54901</v>
      </c>
      <c r="F111" s="170">
        <v>28850</v>
      </c>
      <c r="G111" s="170">
        <v>26051</v>
      </c>
    </row>
    <row r="112" spans="1:7" ht="10.5" customHeight="1" x14ac:dyDescent="0.25">
      <c r="A112" s="79" t="s">
        <v>80</v>
      </c>
      <c r="B112" s="164">
        <v>2797</v>
      </c>
      <c r="C112" s="164">
        <v>1464</v>
      </c>
      <c r="D112" s="164">
        <v>1333</v>
      </c>
      <c r="E112" s="11">
        <v>53864</v>
      </c>
      <c r="F112" s="11">
        <v>28509</v>
      </c>
      <c r="G112" s="11">
        <v>25355</v>
      </c>
    </row>
    <row r="113" spans="1:7" ht="10.5" customHeight="1" x14ac:dyDescent="0.25">
      <c r="A113" s="79" t="s">
        <v>79</v>
      </c>
      <c r="B113" s="164">
        <v>348</v>
      </c>
      <c r="C113" s="164">
        <v>136</v>
      </c>
      <c r="D113" s="164">
        <v>212</v>
      </c>
      <c r="E113" s="11">
        <v>1037</v>
      </c>
      <c r="F113" s="11">
        <v>341</v>
      </c>
      <c r="G113" s="11">
        <v>696</v>
      </c>
    </row>
    <row r="114" spans="1:7" ht="10.5" customHeight="1" x14ac:dyDescent="0.25">
      <c r="A114" s="79" t="s">
        <v>78</v>
      </c>
      <c r="B114" s="165">
        <f>B113/B111*100</f>
        <v>11.065182829888712</v>
      </c>
      <c r="C114" s="165">
        <f t="shared" ref="C114" si="129">C113/C111*100</f>
        <v>8.5</v>
      </c>
      <c r="D114" s="165">
        <f t="shared" ref="D114" si="130">D113/D111*100</f>
        <v>13.721682847896441</v>
      </c>
      <c r="E114" s="25">
        <f t="shared" ref="E114" si="131">E113/E111*100</f>
        <v>1.8888544835248902</v>
      </c>
      <c r="F114" s="25">
        <f t="shared" ref="F114" si="132">F113/F111*100</f>
        <v>1.1819757365684576</v>
      </c>
      <c r="G114" s="25">
        <f t="shared" ref="G114" si="133">G113/G111*100</f>
        <v>2.6716824690031094</v>
      </c>
    </row>
    <row r="115" spans="1:7" ht="10.5" customHeight="1" x14ac:dyDescent="0.2">
      <c r="A115" s="82"/>
      <c r="B115" s="168"/>
      <c r="C115" s="168"/>
      <c r="D115" s="168"/>
      <c r="E115" s="171"/>
      <c r="F115" s="171"/>
      <c r="G115" s="171"/>
    </row>
    <row r="116" spans="1:7" ht="10.5" customHeight="1" x14ac:dyDescent="0.2">
      <c r="A116" s="78" t="s">
        <v>12</v>
      </c>
      <c r="B116" s="163">
        <f>SUM(B117:B118)</f>
        <v>121</v>
      </c>
      <c r="C116" s="163">
        <f t="shared" ref="C116" si="134">SUM(C117:C118)</f>
        <v>57</v>
      </c>
      <c r="D116" s="163">
        <f t="shared" ref="D116" si="135">SUM(D117:D118)</f>
        <v>64</v>
      </c>
      <c r="E116" s="170">
        <v>80216</v>
      </c>
      <c r="F116" s="170">
        <v>40168</v>
      </c>
      <c r="G116" s="170">
        <v>40048</v>
      </c>
    </row>
    <row r="117" spans="1:7" ht="10.5" customHeight="1" x14ac:dyDescent="0.25">
      <c r="A117" s="79" t="s">
        <v>80</v>
      </c>
      <c r="B117" s="164">
        <v>118</v>
      </c>
      <c r="C117" s="164">
        <v>56</v>
      </c>
      <c r="D117" s="164">
        <v>62</v>
      </c>
      <c r="E117" s="11">
        <v>78930</v>
      </c>
      <c r="F117" s="11">
        <v>39797</v>
      </c>
      <c r="G117" s="11">
        <v>39133</v>
      </c>
    </row>
    <row r="118" spans="1:7" ht="10.5" customHeight="1" x14ac:dyDescent="0.25">
      <c r="A118" s="79" t="s">
        <v>79</v>
      </c>
      <c r="B118" s="164">
        <v>3</v>
      </c>
      <c r="C118" s="164">
        <v>1</v>
      </c>
      <c r="D118" s="164">
        <v>2</v>
      </c>
      <c r="E118" s="11">
        <v>1286</v>
      </c>
      <c r="F118" s="11">
        <v>371</v>
      </c>
      <c r="G118" s="11">
        <v>915</v>
      </c>
    </row>
    <row r="119" spans="1:7" ht="10.5" customHeight="1" x14ac:dyDescent="0.25">
      <c r="A119" s="79" t="s">
        <v>78</v>
      </c>
      <c r="B119" s="165">
        <f>B118/B116*100</f>
        <v>2.4793388429752068</v>
      </c>
      <c r="C119" s="165">
        <f t="shared" ref="C119" si="136">C118/C116*100</f>
        <v>1.7543859649122806</v>
      </c>
      <c r="D119" s="165">
        <f t="shared" ref="D119" si="137">D118/D116*100</f>
        <v>3.125</v>
      </c>
      <c r="E119" s="25">
        <f t="shared" ref="E119" si="138">E118/E116*100</f>
        <v>1.6031714371197765</v>
      </c>
      <c r="F119" s="25">
        <f t="shared" ref="F119" si="139">F118/F116*100</f>
        <v>0.92362079267078268</v>
      </c>
      <c r="G119" s="25">
        <f t="shared" ref="G119" si="140">G118/G116*100</f>
        <v>2.2847582900519376</v>
      </c>
    </row>
    <row r="120" spans="1:7" ht="10.5" customHeight="1" x14ac:dyDescent="0.2">
      <c r="A120" s="82"/>
      <c r="B120" s="168"/>
      <c r="C120" s="168"/>
      <c r="D120" s="168"/>
      <c r="E120" s="171"/>
      <c r="F120" s="171"/>
      <c r="G120" s="171"/>
    </row>
    <row r="121" spans="1:7" ht="10.5" customHeight="1" x14ac:dyDescent="0.2">
      <c r="A121" s="78" t="s">
        <v>11</v>
      </c>
      <c r="B121" s="163">
        <f>SUM(B122:B123)</f>
        <v>10808</v>
      </c>
      <c r="C121" s="163">
        <f t="shared" ref="C121" si="141">SUM(C122:C123)</f>
        <v>5348</v>
      </c>
      <c r="D121" s="163">
        <f t="shared" ref="D121" si="142">SUM(D122:D123)</f>
        <v>5460</v>
      </c>
      <c r="E121" s="170">
        <v>99321</v>
      </c>
      <c r="F121" s="170">
        <v>50745</v>
      </c>
      <c r="G121" s="170">
        <v>48576</v>
      </c>
    </row>
    <row r="122" spans="1:7" ht="10.5" customHeight="1" x14ac:dyDescent="0.25">
      <c r="A122" s="79" t="s">
        <v>80</v>
      </c>
      <c r="B122" s="164">
        <v>9408</v>
      </c>
      <c r="C122" s="164">
        <v>4836</v>
      </c>
      <c r="D122" s="164">
        <v>4572</v>
      </c>
      <c r="E122" s="11">
        <v>94486</v>
      </c>
      <c r="F122" s="11">
        <v>49411</v>
      </c>
      <c r="G122" s="11">
        <v>45075</v>
      </c>
    </row>
    <row r="123" spans="1:7" ht="10.5" customHeight="1" x14ac:dyDescent="0.25">
      <c r="A123" s="79" t="s">
        <v>79</v>
      </c>
      <c r="B123" s="164">
        <v>1400</v>
      </c>
      <c r="C123" s="164">
        <v>512</v>
      </c>
      <c r="D123" s="164">
        <v>888</v>
      </c>
      <c r="E123" s="11">
        <v>4835</v>
      </c>
      <c r="F123" s="11">
        <v>1334</v>
      </c>
      <c r="G123" s="11">
        <v>3501</v>
      </c>
    </row>
    <row r="124" spans="1:7" ht="10.5" customHeight="1" x14ac:dyDescent="0.25">
      <c r="A124" s="79" t="s">
        <v>78</v>
      </c>
      <c r="B124" s="165">
        <f>B123/B121*100</f>
        <v>12.953367875647666</v>
      </c>
      <c r="C124" s="165">
        <f t="shared" ref="C124" si="143">C123/C121*100</f>
        <v>9.5736724008975322</v>
      </c>
      <c r="D124" s="165">
        <f t="shared" ref="D124" si="144">D123/D121*100</f>
        <v>16.263736263736263</v>
      </c>
      <c r="E124" s="25">
        <f t="shared" ref="E124" si="145">E123/E121*100</f>
        <v>4.8680540872524443</v>
      </c>
      <c r="F124" s="25">
        <f t="shared" ref="F124" si="146">F123/F121*100</f>
        <v>2.6288304266430189</v>
      </c>
      <c r="G124" s="25">
        <f t="shared" ref="G124" si="147">G123/G121*100</f>
        <v>7.2072628458498018</v>
      </c>
    </row>
    <row r="125" spans="1:7" ht="10.5" customHeight="1" x14ac:dyDescent="0.2">
      <c r="A125" s="82"/>
      <c r="B125" s="168"/>
      <c r="C125" s="168"/>
      <c r="D125" s="168"/>
      <c r="E125" s="171"/>
      <c r="F125" s="171"/>
      <c r="G125" s="171"/>
    </row>
    <row r="126" spans="1:7" ht="10.5" customHeight="1" x14ac:dyDescent="0.2">
      <c r="A126" s="78" t="s">
        <v>10</v>
      </c>
      <c r="B126" s="163">
        <f>SUM(B127:B128)</f>
        <v>406</v>
      </c>
      <c r="C126" s="163">
        <f t="shared" ref="C126" si="148">SUM(C127:C128)</f>
        <v>212</v>
      </c>
      <c r="D126" s="163">
        <f t="shared" ref="D126" si="149">SUM(D127:D128)</f>
        <v>194</v>
      </c>
      <c r="E126" s="170">
        <v>1154063</v>
      </c>
      <c r="F126" s="170">
        <v>557285</v>
      </c>
      <c r="G126" s="170">
        <v>596778</v>
      </c>
    </row>
    <row r="127" spans="1:7" ht="10.5" customHeight="1" x14ac:dyDescent="0.25">
      <c r="A127" s="79" t="s">
        <v>80</v>
      </c>
      <c r="B127" s="164">
        <v>399</v>
      </c>
      <c r="C127" s="164">
        <v>211</v>
      </c>
      <c r="D127" s="164">
        <v>188</v>
      </c>
      <c r="E127" s="11">
        <v>1071717</v>
      </c>
      <c r="F127" s="11">
        <v>530145</v>
      </c>
      <c r="G127" s="11">
        <v>541572</v>
      </c>
    </row>
    <row r="128" spans="1:7" ht="10.5" customHeight="1" x14ac:dyDescent="0.25">
      <c r="A128" s="79" t="s">
        <v>79</v>
      </c>
      <c r="B128" s="164">
        <v>7</v>
      </c>
      <c r="C128" s="164">
        <v>1</v>
      </c>
      <c r="D128" s="164">
        <v>6</v>
      </c>
      <c r="E128" s="11">
        <v>82346</v>
      </c>
      <c r="F128" s="11">
        <v>27140</v>
      </c>
      <c r="G128" s="11">
        <v>55206</v>
      </c>
    </row>
    <row r="129" spans="1:7" ht="10.5" customHeight="1" x14ac:dyDescent="0.25">
      <c r="A129" s="79" t="s">
        <v>78</v>
      </c>
      <c r="B129" s="165">
        <f>B128/B126*100</f>
        <v>1.7241379310344827</v>
      </c>
      <c r="C129" s="165">
        <f t="shared" ref="C129" si="150">C128/C126*100</f>
        <v>0.47169811320754718</v>
      </c>
      <c r="D129" s="165">
        <f t="shared" ref="D129" si="151">D128/D126*100</f>
        <v>3.0927835051546393</v>
      </c>
      <c r="E129" s="25">
        <f t="shared" ref="E129" si="152">E128/E126*100</f>
        <v>7.1353123702952086</v>
      </c>
      <c r="F129" s="25">
        <f t="shared" ref="F129" si="153">F128/F126*100</f>
        <v>4.8700395668284626</v>
      </c>
      <c r="G129" s="25">
        <f t="shared" ref="G129" si="154">G128/G126*100</f>
        <v>9.2506761308225176</v>
      </c>
    </row>
    <row r="130" spans="1:7" ht="10.5" customHeight="1" x14ac:dyDescent="0.25">
      <c r="A130" s="82"/>
      <c r="B130" s="164"/>
      <c r="C130" s="164"/>
      <c r="D130" s="164"/>
      <c r="E130" s="12"/>
      <c r="F130" s="11"/>
      <c r="G130" s="11"/>
    </row>
    <row r="131" spans="1:7" ht="10.5" customHeight="1" x14ac:dyDescent="0.2">
      <c r="A131" s="78" t="s">
        <v>9</v>
      </c>
      <c r="B131" s="163">
        <f>SUM(B132:B133)</f>
        <v>152</v>
      </c>
      <c r="C131" s="163">
        <f t="shared" ref="C131" si="155">SUM(C132:C133)</f>
        <v>93</v>
      </c>
      <c r="D131" s="163">
        <f t="shared" ref="D131" si="156">SUM(D132:D133)</f>
        <v>59</v>
      </c>
      <c r="E131" s="170">
        <v>77889</v>
      </c>
      <c r="F131" s="170">
        <v>40809</v>
      </c>
      <c r="G131" s="170">
        <v>37080</v>
      </c>
    </row>
    <row r="132" spans="1:7" ht="10.5" customHeight="1" x14ac:dyDescent="0.25">
      <c r="A132" s="79" t="s">
        <v>80</v>
      </c>
      <c r="B132" s="164">
        <v>150</v>
      </c>
      <c r="C132" s="164">
        <v>92</v>
      </c>
      <c r="D132" s="164">
        <v>58</v>
      </c>
      <c r="E132" s="11">
        <v>75970</v>
      </c>
      <c r="F132" s="11">
        <v>40302</v>
      </c>
      <c r="G132" s="11">
        <v>35668</v>
      </c>
    </row>
    <row r="133" spans="1:7" ht="10.5" customHeight="1" x14ac:dyDescent="0.25">
      <c r="A133" s="79" t="s">
        <v>79</v>
      </c>
      <c r="B133" s="164">
        <v>2</v>
      </c>
      <c r="C133" s="164">
        <v>1</v>
      </c>
      <c r="D133" s="164">
        <v>1</v>
      </c>
      <c r="E133" s="11">
        <v>1919</v>
      </c>
      <c r="F133" s="11">
        <v>507</v>
      </c>
      <c r="G133" s="11">
        <v>1412</v>
      </c>
    </row>
    <row r="134" spans="1:7" ht="10.5" customHeight="1" x14ac:dyDescent="0.25">
      <c r="A134" s="79" t="s">
        <v>78</v>
      </c>
      <c r="B134" s="165">
        <f>B133/B131*100</f>
        <v>1.3157894736842104</v>
      </c>
      <c r="C134" s="165">
        <f t="shared" ref="C134" si="157">C133/C131*100</f>
        <v>1.0752688172043012</v>
      </c>
      <c r="D134" s="165">
        <f t="shared" ref="D134" si="158">D133/D131*100</f>
        <v>1.6949152542372881</v>
      </c>
      <c r="E134" s="25">
        <f t="shared" ref="E134" si="159">E133/E131*100</f>
        <v>2.4637625338622913</v>
      </c>
      <c r="F134" s="25">
        <f t="shared" ref="F134" si="160">F133/F131*100</f>
        <v>1.2423730059545688</v>
      </c>
      <c r="G134" s="25">
        <f t="shared" ref="G134" si="161">G133/G131*100</f>
        <v>3.8079827400215751</v>
      </c>
    </row>
    <row r="135" spans="1:7" s="1" customFormat="1" ht="3.75" customHeight="1" thickBot="1" x14ac:dyDescent="0.3">
      <c r="A135" s="83"/>
      <c r="B135" s="74"/>
      <c r="C135" s="74"/>
      <c r="D135" s="75"/>
      <c r="E135" s="76"/>
      <c r="F135" s="76"/>
      <c r="G135" s="76"/>
    </row>
    <row r="136" spans="1:7" s="1" customFormat="1" ht="10.5" customHeight="1" x14ac:dyDescent="0.25">
      <c r="A136" s="48"/>
      <c r="B136" s="7"/>
      <c r="C136" s="7"/>
      <c r="D136" s="6"/>
      <c r="E136" s="28"/>
      <c r="F136" s="28"/>
      <c r="G136" s="7" t="s">
        <v>83</v>
      </c>
    </row>
    <row r="137" spans="1:7" ht="12.75" x14ac:dyDescent="0.2">
      <c r="A137" s="205" t="str">
        <f>A$1</f>
        <v>CUADRO Nº 2.9</v>
      </c>
      <c r="B137" s="205"/>
      <c r="C137" s="205"/>
      <c r="D137" s="205"/>
      <c r="E137" s="205"/>
      <c r="F137" s="205"/>
      <c r="G137" s="205"/>
    </row>
    <row r="138" spans="1:7" ht="20.25" customHeight="1" x14ac:dyDescent="0.2">
      <c r="A138" s="206" t="str">
        <f>A$2</f>
        <v>PERÚ: POBLACIÓN CENSADA INDÍGENA U ORIGINARIA DE LA AMAZONÍA, BLANCA(O), MESTIZA(O) Y OTRA(O) DE 15 Y MÁS AÑOS DE EDAD, POR SEXO, SEGÚN TASA DE ANALFABETISMO, ÁREA DE RESIDENCIA Y DEPARTAMENTO, 2017</v>
      </c>
      <c r="B138" s="206"/>
      <c r="C138" s="206"/>
      <c r="D138" s="206"/>
      <c r="E138" s="206"/>
      <c r="F138" s="206"/>
      <c r="G138" s="206"/>
    </row>
    <row r="139" spans="1:7" ht="12.75" x14ac:dyDescent="0.25">
      <c r="A139" s="215" t="str">
        <f>A$3</f>
        <v>(Cifras absolutas)</v>
      </c>
      <c r="B139" s="215"/>
      <c r="C139" s="215"/>
      <c r="D139" s="215"/>
      <c r="E139" s="215"/>
      <c r="F139" s="215"/>
      <c r="G139" s="215"/>
    </row>
    <row r="140" spans="1:7" ht="10.5" customHeight="1" thickBot="1" x14ac:dyDescent="0.3">
      <c r="A140" s="47"/>
      <c r="B140" s="47"/>
      <c r="C140" s="47"/>
      <c r="D140" s="47"/>
      <c r="E140" s="47"/>
      <c r="F140" s="47"/>
      <c r="G140" s="6" t="s">
        <v>16</v>
      </c>
    </row>
    <row r="141" spans="1:7" ht="12.75" customHeight="1" thickBot="1" x14ac:dyDescent="0.25">
      <c r="A141" s="208" t="str">
        <f>A$5</f>
        <v>Tasa de analfabetismo / Área de residencia y departamento</v>
      </c>
      <c r="B141" s="230" t="str">
        <f>B$5</f>
        <v>Indígena u originaria de la Amazonía</v>
      </c>
      <c r="C141" s="231"/>
      <c r="D141" s="232"/>
      <c r="E141" s="210" t="s">
        <v>116</v>
      </c>
      <c r="F141" s="211"/>
      <c r="G141" s="212"/>
    </row>
    <row r="142" spans="1:7" ht="12.75" customHeight="1" thickBot="1" x14ac:dyDescent="0.25">
      <c r="A142" s="209"/>
      <c r="B142" s="53" t="str">
        <f>B$6</f>
        <v>Total</v>
      </c>
      <c r="C142" s="54" t="str">
        <f>C$6</f>
        <v>Hombre</v>
      </c>
      <c r="D142" s="110" t="str">
        <f t="shared" ref="D142:G142" si="162">D$6</f>
        <v>Mujer</v>
      </c>
      <c r="E142" s="53" t="str">
        <f t="shared" si="162"/>
        <v>Total</v>
      </c>
      <c r="F142" s="54" t="str">
        <f t="shared" si="162"/>
        <v>Hombre</v>
      </c>
      <c r="G142" s="110" t="str">
        <f t="shared" si="162"/>
        <v>Mujer</v>
      </c>
    </row>
    <row r="143" spans="1:7" ht="6" customHeight="1" x14ac:dyDescent="0.2">
      <c r="A143" s="77"/>
      <c r="B143" s="14"/>
      <c r="C143" s="14"/>
      <c r="D143" s="46"/>
      <c r="E143" s="46"/>
      <c r="F143" s="46"/>
      <c r="G143" s="46"/>
    </row>
    <row r="144" spans="1:7" ht="10.5" customHeight="1" x14ac:dyDescent="0.2">
      <c r="A144" s="78" t="s">
        <v>8</v>
      </c>
      <c r="B144" s="163">
        <f>SUM(B145:B146)</f>
        <v>4304</v>
      </c>
      <c r="C144" s="163">
        <f t="shared" ref="C144" si="163">SUM(C145:C146)</f>
        <v>2153</v>
      </c>
      <c r="D144" s="163">
        <f t="shared" ref="D144" si="164">SUM(D145:D146)</f>
        <v>2151</v>
      </c>
      <c r="E144" s="170">
        <v>496291</v>
      </c>
      <c r="F144" s="170">
        <v>252061</v>
      </c>
      <c r="G144" s="170">
        <v>244230</v>
      </c>
    </row>
    <row r="145" spans="1:7" ht="10.5" customHeight="1" x14ac:dyDescent="0.25">
      <c r="A145" s="79" t="s">
        <v>80</v>
      </c>
      <c r="B145" s="164">
        <v>3746</v>
      </c>
      <c r="C145" s="164">
        <v>2013</v>
      </c>
      <c r="D145" s="164">
        <v>1733</v>
      </c>
      <c r="E145" s="11">
        <v>461621</v>
      </c>
      <c r="F145" s="11">
        <v>240893</v>
      </c>
      <c r="G145" s="11">
        <v>220728</v>
      </c>
    </row>
    <row r="146" spans="1:7" ht="10.5" customHeight="1" x14ac:dyDescent="0.25">
      <c r="A146" s="79" t="s">
        <v>79</v>
      </c>
      <c r="B146" s="164">
        <v>558</v>
      </c>
      <c r="C146" s="164">
        <v>140</v>
      </c>
      <c r="D146" s="164">
        <v>418</v>
      </c>
      <c r="E146" s="11">
        <v>34670</v>
      </c>
      <c r="F146" s="11">
        <v>11168</v>
      </c>
      <c r="G146" s="11">
        <v>23502</v>
      </c>
    </row>
    <row r="147" spans="1:7" ht="10.5" customHeight="1" x14ac:dyDescent="0.25">
      <c r="A147" s="79" t="s">
        <v>78</v>
      </c>
      <c r="B147" s="165">
        <f>B146/B144*100</f>
        <v>12.964684014869887</v>
      </c>
      <c r="C147" s="165">
        <f t="shared" ref="C147" si="165">C146/C144*100</f>
        <v>6.5025545750116116</v>
      </c>
      <c r="D147" s="165">
        <f t="shared" ref="D147" si="166">D146/D144*100</f>
        <v>19.432821943282192</v>
      </c>
      <c r="E147" s="25">
        <f t="shared" ref="E147" si="167">E146/E144*100</f>
        <v>6.9858208188341111</v>
      </c>
      <c r="F147" s="25">
        <f t="shared" ref="F147" si="168">F146/F144*100</f>
        <v>4.4306735274397866</v>
      </c>
      <c r="G147" s="25">
        <f t="shared" ref="G147" si="169">G146/G144*100</f>
        <v>9.6228964500675591</v>
      </c>
    </row>
    <row r="148" spans="1:7" ht="10.5" customHeight="1" x14ac:dyDescent="0.25">
      <c r="A148" s="82"/>
      <c r="B148" s="164"/>
      <c r="C148" s="164"/>
      <c r="D148" s="164"/>
      <c r="E148" s="172"/>
      <c r="F148" s="172"/>
      <c r="G148" s="172"/>
    </row>
    <row r="149" spans="1:7" ht="10.5" customHeight="1" x14ac:dyDescent="0.2">
      <c r="A149" s="78" t="s">
        <v>7</v>
      </c>
      <c r="B149" s="163">
        <f>SUM(B150:B151)</f>
        <v>242</v>
      </c>
      <c r="C149" s="163">
        <f t="shared" ref="C149" si="170">SUM(C150:C151)</f>
        <v>130</v>
      </c>
      <c r="D149" s="163">
        <f t="shared" ref="D149" si="171">SUM(D150:D151)</f>
        <v>112</v>
      </c>
      <c r="E149" s="170">
        <v>144243</v>
      </c>
      <c r="F149" s="170">
        <v>71356</v>
      </c>
      <c r="G149" s="170">
        <v>72887</v>
      </c>
    </row>
    <row r="150" spans="1:7" ht="10.5" customHeight="1" x14ac:dyDescent="0.25">
      <c r="A150" s="79" t="s">
        <v>80</v>
      </c>
      <c r="B150" s="164">
        <v>241</v>
      </c>
      <c r="C150" s="164">
        <v>130</v>
      </c>
      <c r="D150" s="164">
        <v>111</v>
      </c>
      <c r="E150" s="11">
        <v>142294</v>
      </c>
      <c r="F150" s="11">
        <v>70844</v>
      </c>
      <c r="G150" s="11">
        <v>71450</v>
      </c>
    </row>
    <row r="151" spans="1:7" ht="10.5" customHeight="1" x14ac:dyDescent="0.25">
      <c r="A151" s="79" t="s">
        <v>79</v>
      </c>
      <c r="B151" s="164">
        <v>1</v>
      </c>
      <c r="C151" s="164">
        <v>0</v>
      </c>
      <c r="D151" s="164">
        <v>1</v>
      </c>
      <c r="E151" s="11">
        <v>1949</v>
      </c>
      <c r="F151" s="11">
        <v>512</v>
      </c>
      <c r="G151" s="11">
        <v>1437</v>
      </c>
    </row>
    <row r="152" spans="1:7" ht="10.5" customHeight="1" x14ac:dyDescent="0.25">
      <c r="A152" s="79" t="s">
        <v>78</v>
      </c>
      <c r="B152" s="165">
        <f>B151/B149*100</f>
        <v>0.41322314049586778</v>
      </c>
      <c r="C152" s="165">
        <v>0</v>
      </c>
      <c r="D152" s="165">
        <f t="shared" ref="D152" si="172">D151/D149*100</f>
        <v>0.89285714285714279</v>
      </c>
      <c r="E152" s="25">
        <f t="shared" ref="E152" si="173">E151/E149*100</f>
        <v>1.3511920855778097</v>
      </c>
      <c r="F152" s="25">
        <f t="shared" ref="F152" si="174">F151/F149*100</f>
        <v>0.71752900947362519</v>
      </c>
      <c r="G152" s="25">
        <f t="shared" ref="G152" si="175">G151/G149*100</f>
        <v>1.9715449943062548</v>
      </c>
    </row>
    <row r="153" spans="1:7" ht="10.5" customHeight="1" x14ac:dyDescent="0.25">
      <c r="A153" s="82"/>
      <c r="B153" s="164"/>
      <c r="C153" s="164"/>
      <c r="D153" s="164"/>
      <c r="E153" s="172"/>
      <c r="F153" s="172"/>
      <c r="G153" s="172"/>
    </row>
    <row r="154" spans="1:7" ht="10.5" customHeight="1" x14ac:dyDescent="0.2">
      <c r="A154" s="78" t="s">
        <v>6</v>
      </c>
      <c r="B154" s="163">
        <f>SUM(B155:B156)</f>
        <v>110</v>
      </c>
      <c r="C154" s="163">
        <f t="shared" ref="C154" si="176">SUM(C155:C156)</f>
        <v>75</v>
      </c>
      <c r="D154" s="163">
        <f t="shared" ref="D154" si="177">SUM(D155:D156)</f>
        <v>35</v>
      </c>
      <c r="E154" s="170">
        <v>137174</v>
      </c>
      <c r="F154" s="170">
        <v>67853</v>
      </c>
      <c r="G154" s="170">
        <v>69321</v>
      </c>
    </row>
    <row r="155" spans="1:7" ht="10.5" customHeight="1" x14ac:dyDescent="0.25">
      <c r="A155" s="79" t="s">
        <v>80</v>
      </c>
      <c r="B155" s="164">
        <v>107</v>
      </c>
      <c r="C155" s="164">
        <v>74</v>
      </c>
      <c r="D155" s="164">
        <v>33</v>
      </c>
      <c r="E155" s="11">
        <v>132804</v>
      </c>
      <c r="F155" s="11">
        <v>65902</v>
      </c>
      <c r="G155" s="11">
        <v>66902</v>
      </c>
    </row>
    <row r="156" spans="1:7" ht="10.5" customHeight="1" x14ac:dyDescent="0.25">
      <c r="A156" s="79" t="s">
        <v>79</v>
      </c>
      <c r="B156" s="164">
        <v>3</v>
      </c>
      <c r="C156" s="164">
        <v>1</v>
      </c>
      <c r="D156" s="164">
        <v>2</v>
      </c>
      <c r="E156" s="11">
        <v>4370</v>
      </c>
      <c r="F156" s="11">
        <v>1951</v>
      </c>
      <c r="G156" s="11">
        <v>2419</v>
      </c>
    </row>
    <row r="157" spans="1:7" ht="10.5" customHeight="1" x14ac:dyDescent="0.25">
      <c r="A157" s="79" t="s">
        <v>78</v>
      </c>
      <c r="B157" s="165">
        <f>B156/B154*100</f>
        <v>2.7272727272727271</v>
      </c>
      <c r="C157" s="165">
        <f t="shared" ref="C157" si="178">C156/C154*100</f>
        <v>1.3333333333333335</v>
      </c>
      <c r="D157" s="165">
        <f t="shared" ref="D157" si="179">D156/D154*100</f>
        <v>5.7142857142857144</v>
      </c>
      <c r="E157" s="25">
        <f t="shared" ref="E157" si="180">E156/E154*100</f>
        <v>3.185734906031755</v>
      </c>
      <c r="F157" s="25">
        <f t="shared" ref="F157" si="181">F156/F154*100</f>
        <v>2.875333441410107</v>
      </c>
      <c r="G157" s="25">
        <f t="shared" ref="G157" si="182">G156/G154*100</f>
        <v>3.4895630472728318</v>
      </c>
    </row>
    <row r="158" spans="1:7" ht="10.5" customHeight="1" x14ac:dyDescent="0.25">
      <c r="A158" s="82"/>
      <c r="B158" s="164"/>
      <c r="C158" s="164"/>
      <c r="D158" s="164"/>
      <c r="E158" s="172"/>
      <c r="F158" s="172"/>
      <c r="G158" s="172"/>
    </row>
    <row r="159" spans="1:7" ht="10.5" customHeight="1" x14ac:dyDescent="0.2">
      <c r="A159" s="78" t="s">
        <v>5</v>
      </c>
      <c r="B159" s="163">
        <f>SUM(B160:B161)</f>
        <v>32211</v>
      </c>
      <c r="C159" s="163">
        <f t="shared" ref="C159" si="183">SUM(C160:C161)</f>
        <v>15671</v>
      </c>
      <c r="D159" s="163">
        <f t="shared" ref="D159" si="184">SUM(D160:D161)</f>
        <v>16540</v>
      </c>
      <c r="E159" s="170">
        <v>268074</v>
      </c>
      <c r="F159" s="170">
        <v>134047</v>
      </c>
      <c r="G159" s="170">
        <v>134027</v>
      </c>
    </row>
    <row r="160" spans="1:7" ht="10.5" customHeight="1" x14ac:dyDescent="0.25">
      <c r="A160" s="79" t="s">
        <v>80</v>
      </c>
      <c r="B160" s="164">
        <v>26376</v>
      </c>
      <c r="C160" s="164">
        <v>13535</v>
      </c>
      <c r="D160" s="164">
        <v>12841</v>
      </c>
      <c r="E160" s="11">
        <v>260770</v>
      </c>
      <c r="F160" s="11">
        <v>131564</v>
      </c>
      <c r="G160" s="11">
        <v>129206</v>
      </c>
    </row>
    <row r="161" spans="1:7" ht="10.5" customHeight="1" x14ac:dyDescent="0.25">
      <c r="A161" s="79" t="s">
        <v>79</v>
      </c>
      <c r="B161" s="164">
        <v>5835</v>
      </c>
      <c r="C161" s="164">
        <v>2136</v>
      </c>
      <c r="D161" s="164">
        <v>3699</v>
      </c>
      <c r="E161" s="11">
        <v>7304</v>
      </c>
      <c r="F161" s="11">
        <v>2483</v>
      </c>
      <c r="G161" s="11">
        <v>4821</v>
      </c>
    </row>
    <row r="162" spans="1:7" ht="10.5" customHeight="1" x14ac:dyDescent="0.25">
      <c r="A162" s="79" t="s">
        <v>78</v>
      </c>
      <c r="B162" s="165">
        <f>B161/B159*100</f>
        <v>18.114929682406629</v>
      </c>
      <c r="C162" s="165">
        <f t="shared" ref="C162" si="185">C161/C159*100</f>
        <v>13.630272477825283</v>
      </c>
      <c r="D162" s="165">
        <f t="shared" ref="D162" si="186">D161/D159*100</f>
        <v>22.363966142684401</v>
      </c>
      <c r="E162" s="25">
        <f t="shared" ref="E162" si="187">E161/E159*100</f>
        <v>2.7246208136559309</v>
      </c>
      <c r="F162" s="25">
        <f t="shared" ref="F162" si="188">F161/F159*100</f>
        <v>1.8523353749058165</v>
      </c>
      <c r="G162" s="25">
        <f t="shared" ref="G162" si="189">G161/G159*100</f>
        <v>3.5970364180351719</v>
      </c>
    </row>
    <row r="163" spans="1:7" ht="10.5" customHeight="1" x14ac:dyDescent="0.25">
      <c r="A163" s="82"/>
      <c r="B163" s="164"/>
      <c r="C163" s="164"/>
      <c r="D163" s="164"/>
      <c r="E163" s="172"/>
      <c r="F163" s="172"/>
      <c r="G163" s="172"/>
    </row>
    <row r="164" spans="1:7" ht="10.5" customHeight="1" x14ac:dyDescent="0.2">
      <c r="A164" s="113" t="s">
        <v>129</v>
      </c>
      <c r="B164" s="167">
        <f>SUM(B165:B166)</f>
        <v>14491</v>
      </c>
      <c r="C164" s="167">
        <f t="shared" ref="C164" si="190">SUM(C165:C166)</f>
        <v>6830</v>
      </c>
      <c r="D164" s="167">
        <f t="shared" ref="D164" si="191">SUM(D165:D166)</f>
        <v>7661</v>
      </c>
      <c r="E164" s="26">
        <v>5316765</v>
      </c>
      <c r="F164" s="26">
        <v>2535882</v>
      </c>
      <c r="G164" s="26">
        <v>2780883</v>
      </c>
    </row>
    <row r="165" spans="1:7" ht="10.5" customHeight="1" x14ac:dyDescent="0.25">
      <c r="A165" s="79" t="s">
        <v>80</v>
      </c>
      <c r="B165" s="164">
        <v>14338</v>
      </c>
      <c r="C165" s="164">
        <v>6798</v>
      </c>
      <c r="D165" s="164">
        <v>7540</v>
      </c>
      <c r="E165" s="11">
        <v>5255768</v>
      </c>
      <c r="F165" s="11">
        <v>2519549</v>
      </c>
      <c r="G165" s="11">
        <v>2736219</v>
      </c>
    </row>
    <row r="166" spans="1:7" ht="10.5" customHeight="1" x14ac:dyDescent="0.25">
      <c r="A166" s="79" t="s">
        <v>79</v>
      </c>
      <c r="B166" s="164">
        <v>153</v>
      </c>
      <c r="C166" s="164">
        <v>32</v>
      </c>
      <c r="D166" s="164">
        <v>121</v>
      </c>
      <c r="E166" s="11">
        <v>60997</v>
      </c>
      <c r="F166" s="11">
        <v>16333</v>
      </c>
      <c r="G166" s="11">
        <v>44664</v>
      </c>
    </row>
    <row r="167" spans="1:7" ht="10.5" customHeight="1" x14ac:dyDescent="0.25">
      <c r="A167" s="79" t="s">
        <v>78</v>
      </c>
      <c r="B167" s="165">
        <f>B166/B164*100</f>
        <v>1.0558277551583741</v>
      </c>
      <c r="C167" s="165">
        <f t="shared" ref="C167" si="192">C166/C164*100</f>
        <v>0.46852122986822842</v>
      </c>
      <c r="D167" s="165">
        <f t="shared" ref="D167" si="193">D166/D164*100</f>
        <v>1.5794282730714007</v>
      </c>
      <c r="E167" s="25">
        <f t="shared" ref="E167" si="194">E166/E164*100</f>
        <v>1.1472577779909401</v>
      </c>
      <c r="F167" s="25">
        <f t="shared" ref="F167" si="195">F166/F164*100</f>
        <v>0.64407571014739651</v>
      </c>
      <c r="G167" s="25">
        <f t="shared" ref="G167" si="196">G166/G164*100</f>
        <v>1.6061085633591921</v>
      </c>
    </row>
    <row r="168" spans="1:7" ht="10.5" customHeight="1" x14ac:dyDescent="0.25">
      <c r="A168" s="82"/>
      <c r="B168" s="164"/>
      <c r="C168" s="164"/>
      <c r="D168" s="164"/>
      <c r="E168" s="172"/>
      <c r="F168" s="172"/>
      <c r="G168" s="172"/>
    </row>
    <row r="169" spans="1:7" ht="10.5" customHeight="1" x14ac:dyDescent="0.2">
      <c r="A169" s="121" t="s">
        <v>130</v>
      </c>
      <c r="B169" s="167">
        <f>SUM(B170:B171)</f>
        <v>501</v>
      </c>
      <c r="C169" s="167">
        <f t="shared" ref="C169" si="197">SUM(C170:C171)</f>
        <v>261</v>
      </c>
      <c r="D169" s="167">
        <f t="shared" ref="D169" si="198">SUM(D170:D171)</f>
        <v>240</v>
      </c>
      <c r="E169" s="26">
        <v>527359</v>
      </c>
      <c r="F169" s="26">
        <v>262783</v>
      </c>
      <c r="G169" s="26">
        <v>264576</v>
      </c>
    </row>
    <row r="170" spans="1:7" ht="10.5" customHeight="1" x14ac:dyDescent="0.25">
      <c r="A170" s="79" t="s">
        <v>80</v>
      </c>
      <c r="B170" s="164">
        <v>486</v>
      </c>
      <c r="C170" s="164">
        <v>254</v>
      </c>
      <c r="D170" s="164">
        <v>232</v>
      </c>
      <c r="E170" s="11">
        <v>512323</v>
      </c>
      <c r="F170" s="11">
        <v>258684</v>
      </c>
      <c r="G170" s="11">
        <v>253639</v>
      </c>
    </row>
    <row r="171" spans="1:7" ht="10.5" customHeight="1" x14ac:dyDescent="0.25">
      <c r="A171" s="79" t="s">
        <v>79</v>
      </c>
      <c r="B171" s="164">
        <v>15</v>
      </c>
      <c r="C171" s="164">
        <v>7</v>
      </c>
      <c r="D171" s="164">
        <v>8</v>
      </c>
      <c r="E171" s="11">
        <v>15036</v>
      </c>
      <c r="F171" s="11">
        <v>4099</v>
      </c>
      <c r="G171" s="11">
        <v>10937</v>
      </c>
    </row>
    <row r="172" spans="1:7" ht="10.5" customHeight="1" x14ac:dyDescent="0.25">
      <c r="A172" s="79" t="s">
        <v>78</v>
      </c>
      <c r="B172" s="165">
        <f>B171/B169*100</f>
        <v>2.9940119760479043</v>
      </c>
      <c r="C172" s="165">
        <f t="shared" ref="C172" si="199">C171/C169*100</f>
        <v>2.6819923371647509</v>
      </c>
      <c r="D172" s="165">
        <f t="shared" ref="D172" si="200">D171/D169*100</f>
        <v>3.3333333333333335</v>
      </c>
      <c r="E172" s="25">
        <f t="shared" ref="E172" si="201">E171/E169*100</f>
        <v>2.8511886589590771</v>
      </c>
      <c r="F172" s="25">
        <f t="shared" ref="F172" si="202">F171/F169*100</f>
        <v>1.5598421511284977</v>
      </c>
      <c r="G172" s="25">
        <f t="shared" ref="G172" si="203">G171/G169*100</f>
        <v>4.1337838655055634</v>
      </c>
    </row>
    <row r="173" spans="1:7" ht="2.25" customHeight="1" thickBot="1" x14ac:dyDescent="0.25">
      <c r="A173" s="107"/>
      <c r="B173" s="173"/>
      <c r="C173" s="173"/>
      <c r="D173" s="173"/>
      <c r="E173" s="173"/>
      <c r="F173" s="173"/>
      <c r="G173" s="173"/>
    </row>
    <row r="174" spans="1:7" ht="2.25" customHeight="1" x14ac:dyDescent="0.2">
      <c r="A174" s="50"/>
      <c r="B174" s="12"/>
      <c r="C174" s="12"/>
      <c r="D174" s="12"/>
      <c r="E174" s="12"/>
      <c r="F174" s="12"/>
      <c r="G174" s="12"/>
    </row>
    <row r="175" spans="1:7" customFormat="1" ht="28.5" customHeight="1" x14ac:dyDescent="0.2">
      <c r="A175" s="218" t="s">
        <v>119</v>
      </c>
      <c r="B175" s="233"/>
      <c r="C175" s="233"/>
      <c r="D175" s="233"/>
      <c r="E175" s="233"/>
      <c r="F175" s="233"/>
      <c r="G175" s="233"/>
    </row>
    <row r="176" spans="1:7" customFormat="1" ht="13.5" x14ac:dyDescent="0.25">
      <c r="A176" s="49" t="s">
        <v>86</v>
      </c>
      <c r="B176" s="49"/>
      <c r="C176" s="49"/>
      <c r="D176" s="49"/>
      <c r="E176" s="123"/>
      <c r="F176" s="123"/>
      <c r="G176" s="123"/>
    </row>
    <row r="177" spans="1:7" customFormat="1" ht="13.5" x14ac:dyDescent="0.25">
      <c r="A177" s="49" t="s">
        <v>87</v>
      </c>
      <c r="B177" s="49"/>
      <c r="C177" s="49"/>
      <c r="D177" s="49"/>
      <c r="E177" s="42"/>
      <c r="F177" s="42"/>
      <c r="G177" s="42"/>
    </row>
    <row r="178" spans="1:7" customFormat="1" ht="25.5" customHeight="1" x14ac:dyDescent="0.25">
      <c r="A178" s="214" t="s">
        <v>118</v>
      </c>
      <c r="B178" s="213"/>
      <c r="C178" s="213"/>
      <c r="D178" s="213"/>
      <c r="E178" s="213"/>
      <c r="F178" s="213"/>
      <c r="G178" s="213"/>
    </row>
  </sheetData>
  <mergeCells count="20">
    <mergeCell ref="A71:G71"/>
    <mergeCell ref="A73:A74"/>
    <mergeCell ref="B73:D73"/>
    <mergeCell ref="E73:G73"/>
    <mergeCell ref="A178:G178"/>
    <mergeCell ref="A175:G175"/>
    <mergeCell ref="A139:G139"/>
    <mergeCell ref="A141:A142"/>
    <mergeCell ref="B141:D141"/>
    <mergeCell ref="E141:G141"/>
    <mergeCell ref="A137:G137"/>
    <mergeCell ref="A138:G138"/>
    <mergeCell ref="A69:G69"/>
    <mergeCell ref="A70:G70"/>
    <mergeCell ref="A1:G1"/>
    <mergeCell ref="A5:A6"/>
    <mergeCell ref="B5:D5"/>
    <mergeCell ref="E5:G5"/>
    <mergeCell ref="A3:G3"/>
    <mergeCell ref="A2:G2"/>
  </mergeCells>
  <pageMargins left="0.98425196850393704" right="0.98425196850393704" top="0.98425196850393704" bottom="0.98425196850393704" header="0.98425196850393704" footer="0.98425196850393704"/>
  <pageSetup paperSize="9" orientation="portrait" r:id="rId1"/>
  <rowBreaks count="2" manualBreakCount="2">
    <brk id="68" max="6" man="1"/>
    <brk id="136" max="6" man="1"/>
  </rowBreaks>
  <ignoredErrors>
    <ignoredError sqref="B63:D63 C14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151"/>
  <sheetViews>
    <sheetView showGridLines="0" view="pageBreakPreview" zoomScale="120" zoomScaleNormal="110" zoomScaleSheetLayoutView="120" workbookViewId="0">
      <selection activeCell="A2" sqref="A2:S2"/>
    </sheetView>
  </sheetViews>
  <sheetFormatPr baseColWidth="10" defaultRowHeight="11.25" x14ac:dyDescent="0.2"/>
  <cols>
    <col min="1" max="1" width="14.5703125" style="42" customWidth="1"/>
    <col min="2" max="3" width="5.42578125" style="45" customWidth="1"/>
    <col min="4" max="4" width="0.7109375" style="45" customWidth="1"/>
    <col min="5" max="6" width="5.42578125" style="45" customWidth="1"/>
    <col min="7" max="7" width="0.7109375" style="45" customWidth="1"/>
    <col min="8" max="9" width="5.42578125" style="45" customWidth="1"/>
    <col min="10" max="11" width="0.7109375" style="45" customWidth="1"/>
    <col min="12" max="13" width="6.85546875" style="45" customWidth="1"/>
    <col min="14" max="14" width="0.7109375" style="45" customWidth="1"/>
    <col min="15" max="15" width="6.7109375" style="45" customWidth="1"/>
    <col min="16" max="16" width="5.85546875" style="45" customWidth="1"/>
    <col min="17" max="17" width="0.7109375" style="45" customWidth="1"/>
    <col min="18" max="18" width="7.28515625" style="45" customWidth="1"/>
    <col min="19" max="19" width="5.85546875" style="42" customWidth="1"/>
    <col min="20" max="16384" width="11.42578125" style="42"/>
  </cols>
  <sheetData>
    <row r="1" spans="1:19" ht="12.75" customHeight="1" x14ac:dyDescent="0.2">
      <c r="A1" s="205" t="s">
        <v>145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</row>
    <row r="2" spans="1:19" ht="41.25" customHeight="1" x14ac:dyDescent="0.2">
      <c r="A2" s="219" t="s">
        <v>112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</row>
    <row r="3" spans="1:19" ht="12.75" customHeight="1" x14ac:dyDescent="0.25">
      <c r="A3" s="215" t="s">
        <v>17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</row>
    <row r="4" spans="1:19" ht="10.5" customHeight="1" thickBot="1" x14ac:dyDescent="0.3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10"/>
    </row>
    <row r="5" spans="1:19" ht="12.75" customHeight="1" thickBot="1" x14ac:dyDescent="0.25">
      <c r="A5" s="208" t="s">
        <v>91</v>
      </c>
      <c r="B5" s="210" t="s">
        <v>117</v>
      </c>
      <c r="C5" s="211"/>
      <c r="D5" s="211"/>
      <c r="E5" s="211"/>
      <c r="F5" s="211"/>
      <c r="G5" s="211"/>
      <c r="H5" s="211"/>
      <c r="I5" s="211"/>
      <c r="J5" s="212"/>
      <c r="K5" s="211" t="s">
        <v>116</v>
      </c>
      <c r="L5" s="211"/>
      <c r="M5" s="211"/>
      <c r="N5" s="211"/>
      <c r="O5" s="211"/>
      <c r="P5" s="211"/>
      <c r="Q5" s="211"/>
      <c r="R5" s="211"/>
      <c r="S5" s="212"/>
    </row>
    <row r="6" spans="1:19" ht="12.75" customHeight="1" thickBot="1" x14ac:dyDescent="0.25">
      <c r="A6" s="234"/>
      <c r="B6" s="230" t="s">
        <v>15</v>
      </c>
      <c r="C6" s="231"/>
      <c r="D6" s="174"/>
      <c r="E6" s="231" t="s">
        <v>14</v>
      </c>
      <c r="F6" s="231"/>
      <c r="G6" s="174"/>
      <c r="H6" s="231" t="s">
        <v>13</v>
      </c>
      <c r="I6" s="231"/>
      <c r="J6" s="175"/>
      <c r="K6" s="174"/>
      <c r="L6" s="231" t="s">
        <v>15</v>
      </c>
      <c r="M6" s="231"/>
      <c r="N6" s="174"/>
      <c r="O6" s="231" t="s">
        <v>14</v>
      </c>
      <c r="P6" s="231"/>
      <c r="Q6" s="174"/>
      <c r="R6" s="231" t="s">
        <v>13</v>
      </c>
      <c r="S6" s="232"/>
    </row>
    <row r="7" spans="1:19" ht="24" customHeight="1" thickBot="1" x14ac:dyDescent="0.25">
      <c r="A7" s="209"/>
      <c r="B7" s="176" t="s">
        <v>105</v>
      </c>
      <c r="C7" s="124" t="s">
        <v>106</v>
      </c>
      <c r="D7" s="56"/>
      <c r="E7" s="56" t="s">
        <v>105</v>
      </c>
      <c r="F7" s="124" t="s">
        <v>106</v>
      </c>
      <c r="G7" s="56"/>
      <c r="H7" s="56" t="s">
        <v>105</v>
      </c>
      <c r="I7" s="124" t="s">
        <v>106</v>
      </c>
      <c r="J7" s="111"/>
      <c r="K7" s="56"/>
      <c r="L7" s="56" t="s">
        <v>105</v>
      </c>
      <c r="M7" s="124" t="s">
        <v>106</v>
      </c>
      <c r="N7" s="124"/>
      <c r="O7" s="56" t="s">
        <v>105</v>
      </c>
      <c r="P7" s="124" t="s">
        <v>106</v>
      </c>
      <c r="Q7" s="124"/>
      <c r="R7" s="56" t="s">
        <v>105</v>
      </c>
      <c r="S7" s="57" t="s">
        <v>106</v>
      </c>
    </row>
    <row r="8" spans="1:19" ht="3.75" customHeight="1" x14ac:dyDescent="0.2">
      <c r="A8" s="186"/>
      <c r="B8" s="187"/>
      <c r="C8" s="188"/>
      <c r="D8" s="187"/>
      <c r="E8" s="187"/>
      <c r="F8" s="188"/>
      <c r="G8" s="187"/>
      <c r="H8" s="187"/>
      <c r="I8" s="188"/>
      <c r="J8" s="187"/>
      <c r="K8" s="187"/>
      <c r="L8" s="187"/>
      <c r="M8" s="188"/>
      <c r="N8" s="188"/>
      <c r="O8" s="187"/>
      <c r="P8" s="188"/>
      <c r="Q8" s="188"/>
      <c r="R8" s="187"/>
      <c r="S8" s="188"/>
    </row>
    <row r="9" spans="1:19" ht="10.5" customHeight="1" x14ac:dyDescent="0.2">
      <c r="A9" s="78" t="s">
        <v>15</v>
      </c>
      <c r="B9" s="181">
        <v>41685</v>
      </c>
      <c r="C9" s="181">
        <v>41290</v>
      </c>
      <c r="D9" s="181"/>
      <c r="E9" s="181">
        <v>21863</v>
      </c>
      <c r="F9" s="181">
        <v>18442</v>
      </c>
      <c r="G9" s="181"/>
      <c r="H9" s="181">
        <v>19822</v>
      </c>
      <c r="I9" s="181">
        <v>22848</v>
      </c>
      <c r="J9" s="181"/>
      <c r="K9" s="181"/>
      <c r="L9" s="182">
        <v>3040261</v>
      </c>
      <c r="M9" s="182">
        <v>1673281</v>
      </c>
      <c r="N9" s="182"/>
      <c r="O9" s="182">
        <v>1522899</v>
      </c>
      <c r="P9" s="182">
        <v>824444</v>
      </c>
      <c r="Q9" s="182"/>
      <c r="R9" s="182">
        <v>1517362</v>
      </c>
      <c r="S9" s="182">
        <v>848837</v>
      </c>
    </row>
    <row r="10" spans="1:19" ht="10.5" customHeight="1" x14ac:dyDescent="0.2">
      <c r="A10" s="79" t="s">
        <v>82</v>
      </c>
      <c r="B10" s="15">
        <v>29355</v>
      </c>
      <c r="C10" s="15">
        <v>8746</v>
      </c>
      <c r="D10" s="15"/>
      <c r="E10" s="15">
        <v>15106</v>
      </c>
      <c r="F10" s="15">
        <v>3944</v>
      </c>
      <c r="G10" s="15"/>
      <c r="H10" s="15">
        <v>14249</v>
      </c>
      <c r="I10" s="15">
        <v>4802</v>
      </c>
      <c r="J10" s="15"/>
      <c r="K10" s="15"/>
      <c r="L10" s="15">
        <v>1689812</v>
      </c>
      <c r="M10" s="15">
        <v>163287</v>
      </c>
      <c r="N10" s="15"/>
      <c r="O10" s="15">
        <v>857842</v>
      </c>
      <c r="P10" s="15">
        <v>79147</v>
      </c>
      <c r="Q10" s="15"/>
      <c r="R10" s="15">
        <v>831970</v>
      </c>
      <c r="S10" s="15">
        <v>84140</v>
      </c>
    </row>
    <row r="11" spans="1:19" ht="10.5" customHeight="1" x14ac:dyDescent="0.2">
      <c r="A11" s="79" t="s">
        <v>81</v>
      </c>
      <c r="B11" s="15">
        <v>12330</v>
      </c>
      <c r="C11" s="15">
        <v>32544</v>
      </c>
      <c r="D11" s="15"/>
      <c r="E11" s="15">
        <v>6757</v>
      </c>
      <c r="F11" s="15">
        <v>14498</v>
      </c>
      <c r="G11" s="15"/>
      <c r="H11" s="15">
        <v>5573</v>
      </c>
      <c r="I11" s="15">
        <v>18046</v>
      </c>
      <c r="J11" s="15"/>
      <c r="K11" s="15"/>
      <c r="L11" s="15">
        <v>1350449</v>
      </c>
      <c r="M11" s="15">
        <v>1509994</v>
      </c>
      <c r="N11" s="15"/>
      <c r="O11" s="15">
        <v>665057</v>
      </c>
      <c r="P11" s="15">
        <v>745297</v>
      </c>
      <c r="Q11" s="15"/>
      <c r="R11" s="15">
        <v>685392</v>
      </c>
      <c r="S11" s="15">
        <v>764697</v>
      </c>
    </row>
    <row r="12" spans="1:19" ht="10.5" customHeight="1" x14ac:dyDescent="0.2">
      <c r="A12" s="80"/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8"/>
      <c r="M12" s="178"/>
      <c r="N12" s="178"/>
      <c r="O12" s="178"/>
      <c r="P12" s="178"/>
      <c r="Q12" s="178"/>
      <c r="R12" s="178"/>
      <c r="S12" s="178"/>
    </row>
    <row r="13" spans="1:19" ht="10.5" customHeight="1" x14ac:dyDescent="0.2">
      <c r="A13" s="113" t="s">
        <v>37</v>
      </c>
      <c r="B13" s="179">
        <v>10692</v>
      </c>
      <c r="C13" s="179">
        <v>8485</v>
      </c>
      <c r="D13" s="179"/>
      <c r="E13" s="179">
        <v>5179</v>
      </c>
      <c r="F13" s="179">
        <v>3902</v>
      </c>
      <c r="G13" s="179"/>
      <c r="H13" s="179">
        <v>5513</v>
      </c>
      <c r="I13" s="179">
        <v>4583</v>
      </c>
      <c r="J13" s="179"/>
      <c r="K13" s="179"/>
      <c r="L13" s="180">
        <v>2639020</v>
      </c>
      <c r="M13" s="180">
        <v>1347266</v>
      </c>
      <c r="N13" s="180"/>
      <c r="O13" s="180">
        <v>1310487</v>
      </c>
      <c r="P13" s="180">
        <v>665698</v>
      </c>
      <c r="Q13" s="180"/>
      <c r="R13" s="180">
        <v>1328533</v>
      </c>
      <c r="S13" s="180">
        <v>681568</v>
      </c>
    </row>
    <row r="14" spans="1:19" ht="10.5" customHeight="1" x14ac:dyDescent="0.2">
      <c r="A14" s="79" t="s">
        <v>82</v>
      </c>
      <c r="B14" s="15">
        <v>5629</v>
      </c>
      <c r="C14" s="15">
        <v>984</v>
      </c>
      <c r="D14" s="15"/>
      <c r="E14" s="15">
        <v>2616</v>
      </c>
      <c r="F14" s="15">
        <v>412</v>
      </c>
      <c r="G14" s="15"/>
      <c r="H14" s="15">
        <v>3013</v>
      </c>
      <c r="I14" s="15">
        <v>572</v>
      </c>
      <c r="J14" s="15"/>
      <c r="K14" s="15"/>
      <c r="L14" s="15">
        <v>1391128</v>
      </c>
      <c r="M14" s="15">
        <v>120573</v>
      </c>
      <c r="N14" s="15"/>
      <c r="O14" s="15">
        <v>701247</v>
      </c>
      <c r="P14" s="15">
        <v>59397</v>
      </c>
      <c r="Q14" s="15"/>
      <c r="R14" s="15">
        <v>689881</v>
      </c>
      <c r="S14" s="15">
        <v>61176</v>
      </c>
    </row>
    <row r="15" spans="1:19" ht="10.5" customHeight="1" x14ac:dyDescent="0.2">
      <c r="A15" s="79" t="s">
        <v>81</v>
      </c>
      <c r="B15" s="15">
        <v>5063</v>
      </c>
      <c r="C15" s="15">
        <v>7501</v>
      </c>
      <c r="D15" s="15"/>
      <c r="E15" s="15">
        <v>2563</v>
      </c>
      <c r="F15" s="15">
        <v>3490</v>
      </c>
      <c r="G15" s="15"/>
      <c r="H15" s="15">
        <v>2500</v>
      </c>
      <c r="I15" s="15">
        <v>4011</v>
      </c>
      <c r="J15" s="15"/>
      <c r="K15" s="15"/>
      <c r="L15" s="15">
        <v>1247892</v>
      </c>
      <c r="M15" s="15">
        <v>1226693</v>
      </c>
      <c r="N15" s="15"/>
      <c r="O15" s="15">
        <v>609240</v>
      </c>
      <c r="P15" s="15">
        <v>606301</v>
      </c>
      <c r="Q15" s="15"/>
      <c r="R15" s="15">
        <v>638652</v>
      </c>
      <c r="S15" s="15">
        <v>620392</v>
      </c>
    </row>
    <row r="16" spans="1:19" ht="10.5" customHeight="1" x14ac:dyDescent="0.2">
      <c r="A16" s="8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8"/>
      <c r="M16" s="178"/>
      <c r="N16" s="178"/>
      <c r="O16" s="178"/>
      <c r="P16" s="178"/>
      <c r="Q16" s="178"/>
      <c r="R16" s="178"/>
      <c r="S16" s="178"/>
    </row>
    <row r="17" spans="1:19" ht="10.5" customHeight="1" x14ac:dyDescent="0.2">
      <c r="A17" s="113" t="s">
        <v>36</v>
      </c>
      <c r="B17" s="179">
        <v>30993</v>
      </c>
      <c r="C17" s="179">
        <v>32805</v>
      </c>
      <c r="D17" s="179"/>
      <c r="E17" s="179">
        <v>16684</v>
      </c>
      <c r="F17" s="179">
        <v>14540</v>
      </c>
      <c r="G17" s="179"/>
      <c r="H17" s="179">
        <v>14309</v>
      </c>
      <c r="I17" s="179">
        <v>18265</v>
      </c>
      <c r="J17" s="179"/>
      <c r="K17" s="179"/>
      <c r="L17" s="180">
        <v>401241</v>
      </c>
      <c r="M17" s="180">
        <v>326015</v>
      </c>
      <c r="N17" s="180"/>
      <c r="O17" s="180">
        <v>212412</v>
      </c>
      <c r="P17" s="180">
        <v>158746</v>
      </c>
      <c r="Q17" s="180"/>
      <c r="R17" s="180">
        <v>188829</v>
      </c>
      <c r="S17" s="180">
        <v>167269</v>
      </c>
    </row>
    <row r="18" spans="1:19" ht="10.5" customHeight="1" x14ac:dyDescent="0.2">
      <c r="A18" s="79" t="s">
        <v>82</v>
      </c>
      <c r="B18" s="15">
        <v>23726</v>
      </c>
      <c r="C18" s="15">
        <v>7762</v>
      </c>
      <c r="D18" s="15"/>
      <c r="E18" s="15">
        <v>12490</v>
      </c>
      <c r="F18" s="15">
        <v>3532</v>
      </c>
      <c r="G18" s="15"/>
      <c r="H18" s="15">
        <v>11236</v>
      </c>
      <c r="I18" s="15">
        <v>4230</v>
      </c>
      <c r="J18" s="15"/>
      <c r="K18" s="15"/>
      <c r="L18" s="15">
        <v>298684</v>
      </c>
      <c r="M18" s="15">
        <v>42714</v>
      </c>
      <c r="N18" s="15"/>
      <c r="O18" s="15">
        <v>156595</v>
      </c>
      <c r="P18" s="15">
        <v>19750</v>
      </c>
      <c r="Q18" s="15"/>
      <c r="R18" s="15">
        <v>142089</v>
      </c>
      <c r="S18" s="15">
        <v>22964</v>
      </c>
    </row>
    <row r="19" spans="1:19" ht="10.5" customHeight="1" x14ac:dyDescent="0.2">
      <c r="A19" s="79" t="s">
        <v>81</v>
      </c>
      <c r="B19" s="15">
        <v>7267</v>
      </c>
      <c r="C19" s="15">
        <v>25043</v>
      </c>
      <c r="D19" s="15"/>
      <c r="E19" s="15">
        <v>4194</v>
      </c>
      <c r="F19" s="15">
        <v>11008</v>
      </c>
      <c r="G19" s="15"/>
      <c r="H19" s="15">
        <v>3073</v>
      </c>
      <c r="I19" s="15">
        <v>14035</v>
      </c>
      <c r="J19" s="15"/>
      <c r="K19" s="15"/>
      <c r="L19" s="15">
        <v>102557</v>
      </c>
      <c r="M19" s="15">
        <v>283301</v>
      </c>
      <c r="N19" s="15"/>
      <c r="O19" s="15">
        <v>55817</v>
      </c>
      <c r="P19" s="15">
        <v>138996</v>
      </c>
      <c r="Q19" s="15"/>
      <c r="R19" s="15">
        <v>46740</v>
      </c>
      <c r="S19" s="15">
        <v>144305</v>
      </c>
    </row>
    <row r="20" spans="1:19" ht="10.5" customHeight="1" x14ac:dyDescent="0.2">
      <c r="A20" s="82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8"/>
      <c r="M20" s="178"/>
      <c r="N20" s="178"/>
      <c r="O20" s="178"/>
      <c r="P20" s="178"/>
      <c r="Q20" s="178"/>
      <c r="R20" s="178"/>
      <c r="S20" s="178"/>
    </row>
    <row r="21" spans="1:19" ht="10.5" customHeight="1" x14ac:dyDescent="0.2">
      <c r="A21" s="78" t="s">
        <v>35</v>
      </c>
      <c r="B21" s="181">
        <v>7346</v>
      </c>
      <c r="C21" s="181">
        <v>7242</v>
      </c>
      <c r="D21" s="181"/>
      <c r="E21" s="181">
        <v>3954</v>
      </c>
      <c r="F21" s="181">
        <v>2929</v>
      </c>
      <c r="G21" s="181"/>
      <c r="H21" s="181">
        <v>3392</v>
      </c>
      <c r="I21" s="181">
        <v>4313</v>
      </c>
      <c r="J21" s="181"/>
      <c r="K21" s="181"/>
      <c r="L21" s="182">
        <v>38958</v>
      </c>
      <c r="M21" s="182">
        <v>26946</v>
      </c>
      <c r="N21" s="182"/>
      <c r="O21" s="182">
        <v>19710</v>
      </c>
      <c r="P21" s="182">
        <v>13479</v>
      </c>
      <c r="Q21" s="182"/>
      <c r="R21" s="182">
        <v>19248</v>
      </c>
      <c r="S21" s="182">
        <v>13467</v>
      </c>
    </row>
    <row r="22" spans="1:19" ht="10.5" customHeight="1" x14ac:dyDescent="0.2">
      <c r="A22" s="79" t="s">
        <v>82</v>
      </c>
      <c r="B22" s="15">
        <v>5450</v>
      </c>
      <c r="C22" s="15">
        <v>1704</v>
      </c>
      <c r="D22" s="15"/>
      <c r="E22" s="15">
        <v>2856</v>
      </c>
      <c r="F22" s="15">
        <v>722</v>
      </c>
      <c r="G22" s="15"/>
      <c r="H22" s="15">
        <v>2594</v>
      </c>
      <c r="I22" s="15">
        <v>982</v>
      </c>
      <c r="J22" s="15"/>
      <c r="K22" s="15"/>
      <c r="L22" s="15">
        <v>26959</v>
      </c>
      <c r="M22" s="15">
        <v>2986</v>
      </c>
      <c r="N22" s="15"/>
      <c r="O22" s="15">
        <v>13770</v>
      </c>
      <c r="P22" s="15">
        <v>1493</v>
      </c>
      <c r="Q22" s="15"/>
      <c r="R22" s="15">
        <v>13189</v>
      </c>
      <c r="S22" s="15">
        <v>1493</v>
      </c>
    </row>
    <row r="23" spans="1:19" ht="10.5" customHeight="1" x14ac:dyDescent="0.2">
      <c r="A23" s="79" t="s">
        <v>81</v>
      </c>
      <c r="B23" s="15">
        <v>1896</v>
      </c>
      <c r="C23" s="15">
        <v>5538</v>
      </c>
      <c r="D23" s="15"/>
      <c r="E23" s="15">
        <v>1098</v>
      </c>
      <c r="F23" s="15">
        <v>2207</v>
      </c>
      <c r="G23" s="15"/>
      <c r="H23" s="15">
        <v>798</v>
      </c>
      <c r="I23" s="15">
        <v>3331</v>
      </c>
      <c r="J23" s="15"/>
      <c r="K23" s="15"/>
      <c r="L23" s="15">
        <v>11999</v>
      </c>
      <c r="M23" s="15">
        <v>23960</v>
      </c>
      <c r="N23" s="15"/>
      <c r="O23" s="15">
        <v>5940</v>
      </c>
      <c r="P23" s="15">
        <v>11986</v>
      </c>
      <c r="Q23" s="15"/>
      <c r="R23" s="15">
        <v>6059</v>
      </c>
      <c r="S23" s="15">
        <v>11974</v>
      </c>
    </row>
    <row r="24" spans="1:19" ht="10.5" customHeight="1" x14ac:dyDescent="0.2">
      <c r="A24" s="80"/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8"/>
      <c r="M24" s="178"/>
      <c r="N24" s="178"/>
      <c r="O24" s="178"/>
      <c r="P24" s="178"/>
      <c r="Q24" s="178"/>
      <c r="R24" s="178"/>
      <c r="S24" s="178"/>
    </row>
    <row r="25" spans="1:19" ht="10.5" customHeight="1" x14ac:dyDescent="0.2">
      <c r="A25" s="78" t="s">
        <v>34</v>
      </c>
      <c r="B25" s="181">
        <v>18</v>
      </c>
      <c r="C25" s="181">
        <v>28</v>
      </c>
      <c r="D25" s="181"/>
      <c r="E25" s="181">
        <v>11</v>
      </c>
      <c r="F25" s="181">
        <v>15</v>
      </c>
      <c r="G25" s="181"/>
      <c r="H25" s="181">
        <v>7</v>
      </c>
      <c r="I25" s="181">
        <v>13</v>
      </c>
      <c r="J25" s="181"/>
      <c r="K25" s="181"/>
      <c r="L25" s="182">
        <v>98406</v>
      </c>
      <c r="M25" s="182">
        <v>51783</v>
      </c>
      <c r="N25" s="182"/>
      <c r="O25" s="182">
        <v>49537</v>
      </c>
      <c r="P25" s="182">
        <v>25590</v>
      </c>
      <c r="Q25" s="182"/>
      <c r="R25" s="182">
        <v>48869</v>
      </c>
      <c r="S25" s="182">
        <v>26193</v>
      </c>
    </row>
    <row r="26" spans="1:19" ht="10.5" customHeight="1" x14ac:dyDescent="0.2">
      <c r="A26" s="79" t="s">
        <v>82</v>
      </c>
      <c r="B26" s="15">
        <v>7</v>
      </c>
      <c r="C26" s="15">
        <v>4</v>
      </c>
      <c r="D26" s="15"/>
      <c r="E26" s="15">
        <v>5</v>
      </c>
      <c r="F26" s="15">
        <v>2</v>
      </c>
      <c r="G26" s="15"/>
      <c r="H26" s="15">
        <v>2</v>
      </c>
      <c r="I26" s="15">
        <v>2</v>
      </c>
      <c r="J26" s="15"/>
      <c r="K26" s="15"/>
      <c r="L26" s="15">
        <v>56630</v>
      </c>
      <c r="M26" s="15">
        <v>4581</v>
      </c>
      <c r="N26" s="15"/>
      <c r="O26" s="15">
        <v>28862</v>
      </c>
      <c r="P26" s="15">
        <v>2248</v>
      </c>
      <c r="Q26" s="15"/>
      <c r="R26" s="15">
        <v>27768</v>
      </c>
      <c r="S26" s="15">
        <v>2333</v>
      </c>
    </row>
    <row r="27" spans="1:19" ht="10.5" customHeight="1" x14ac:dyDescent="0.2">
      <c r="A27" s="79" t="s">
        <v>81</v>
      </c>
      <c r="B27" s="15">
        <v>11</v>
      </c>
      <c r="C27" s="15">
        <v>24</v>
      </c>
      <c r="D27" s="15"/>
      <c r="E27" s="15">
        <v>6</v>
      </c>
      <c r="F27" s="15">
        <v>13</v>
      </c>
      <c r="G27" s="15"/>
      <c r="H27" s="15">
        <v>5</v>
      </c>
      <c r="I27" s="15">
        <v>11</v>
      </c>
      <c r="J27" s="15"/>
      <c r="K27" s="15"/>
      <c r="L27" s="15">
        <v>41776</v>
      </c>
      <c r="M27" s="15">
        <v>47202</v>
      </c>
      <c r="N27" s="15"/>
      <c r="O27" s="15">
        <v>20675</v>
      </c>
      <c r="P27" s="15">
        <v>23342</v>
      </c>
      <c r="Q27" s="15"/>
      <c r="R27" s="15">
        <v>21101</v>
      </c>
      <c r="S27" s="15">
        <v>23860</v>
      </c>
    </row>
    <row r="28" spans="1:19" ht="10.5" customHeight="1" x14ac:dyDescent="0.2">
      <c r="A28" s="80"/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8"/>
      <c r="M28" s="178"/>
      <c r="N28" s="178"/>
      <c r="O28" s="178"/>
      <c r="P28" s="178"/>
      <c r="Q28" s="178"/>
      <c r="R28" s="178"/>
      <c r="S28" s="178"/>
    </row>
    <row r="29" spans="1:19" ht="10.5" customHeight="1" x14ac:dyDescent="0.2">
      <c r="A29" s="78" t="s">
        <v>33</v>
      </c>
      <c r="B29" s="181">
        <v>23</v>
      </c>
      <c r="C29" s="181">
        <v>22</v>
      </c>
      <c r="D29" s="181"/>
      <c r="E29" s="181">
        <v>12</v>
      </c>
      <c r="F29" s="181">
        <v>10</v>
      </c>
      <c r="G29" s="181"/>
      <c r="H29" s="181">
        <v>11</v>
      </c>
      <c r="I29" s="181">
        <v>12</v>
      </c>
      <c r="J29" s="181"/>
      <c r="K29" s="181"/>
      <c r="L29" s="182">
        <v>10201</v>
      </c>
      <c r="M29" s="182">
        <v>4461</v>
      </c>
      <c r="N29" s="182"/>
      <c r="O29" s="182">
        <v>5063</v>
      </c>
      <c r="P29" s="182">
        <v>2293</v>
      </c>
      <c r="Q29" s="182"/>
      <c r="R29" s="182">
        <v>5138</v>
      </c>
      <c r="S29" s="182">
        <v>2168</v>
      </c>
    </row>
    <row r="30" spans="1:19" ht="10.5" customHeight="1" x14ac:dyDescent="0.2">
      <c r="A30" s="79" t="s">
        <v>82</v>
      </c>
      <c r="B30" s="15">
        <v>14</v>
      </c>
      <c r="C30" s="15">
        <v>2</v>
      </c>
      <c r="D30" s="15"/>
      <c r="E30" s="15">
        <v>8</v>
      </c>
      <c r="F30" s="15">
        <v>0</v>
      </c>
      <c r="G30" s="15"/>
      <c r="H30" s="15">
        <v>6</v>
      </c>
      <c r="I30" s="15">
        <v>2</v>
      </c>
      <c r="J30" s="15"/>
      <c r="K30" s="15"/>
      <c r="L30" s="15">
        <v>5689</v>
      </c>
      <c r="M30" s="15">
        <v>440</v>
      </c>
      <c r="N30" s="15"/>
      <c r="O30" s="15">
        <v>2890</v>
      </c>
      <c r="P30" s="15">
        <v>189</v>
      </c>
      <c r="Q30" s="15"/>
      <c r="R30" s="15">
        <v>2799</v>
      </c>
      <c r="S30" s="15">
        <v>251</v>
      </c>
    </row>
    <row r="31" spans="1:19" ht="10.5" customHeight="1" x14ac:dyDescent="0.2">
      <c r="A31" s="79" t="s">
        <v>81</v>
      </c>
      <c r="B31" s="15">
        <v>9</v>
      </c>
      <c r="C31" s="15">
        <v>20</v>
      </c>
      <c r="D31" s="15"/>
      <c r="E31" s="15">
        <v>4</v>
      </c>
      <c r="F31" s="15">
        <v>10</v>
      </c>
      <c r="G31" s="15"/>
      <c r="H31" s="15">
        <v>5</v>
      </c>
      <c r="I31" s="15">
        <v>10</v>
      </c>
      <c r="J31" s="15"/>
      <c r="K31" s="15"/>
      <c r="L31" s="15">
        <v>4512</v>
      </c>
      <c r="M31" s="15">
        <v>4021</v>
      </c>
      <c r="N31" s="15"/>
      <c r="O31" s="15">
        <v>2173</v>
      </c>
      <c r="P31" s="15">
        <v>2104</v>
      </c>
      <c r="Q31" s="15"/>
      <c r="R31" s="15">
        <v>2339</v>
      </c>
      <c r="S31" s="15">
        <v>1917</v>
      </c>
    </row>
    <row r="32" spans="1:19" ht="10.5" customHeight="1" x14ac:dyDescent="0.2">
      <c r="A32" s="80"/>
      <c r="B32" s="177"/>
      <c r="C32" s="177"/>
      <c r="D32" s="177"/>
      <c r="E32" s="177"/>
      <c r="F32" s="177"/>
      <c r="G32" s="177"/>
      <c r="H32" s="177"/>
      <c r="I32" s="177"/>
      <c r="J32" s="177"/>
      <c r="K32" s="177"/>
      <c r="L32" s="178"/>
      <c r="M32" s="178"/>
      <c r="N32" s="178"/>
      <c r="O32" s="178"/>
      <c r="P32" s="178"/>
      <c r="Q32" s="178"/>
      <c r="R32" s="178"/>
      <c r="S32" s="178"/>
    </row>
    <row r="33" spans="1:19" ht="10.5" customHeight="1" x14ac:dyDescent="0.2">
      <c r="A33" s="78" t="s">
        <v>32</v>
      </c>
      <c r="B33" s="181">
        <v>103</v>
      </c>
      <c r="C33" s="181">
        <v>87</v>
      </c>
      <c r="D33" s="181"/>
      <c r="E33" s="181">
        <v>52</v>
      </c>
      <c r="F33" s="181">
        <v>44</v>
      </c>
      <c r="G33" s="181"/>
      <c r="H33" s="181">
        <v>51</v>
      </c>
      <c r="I33" s="181">
        <v>43</v>
      </c>
      <c r="J33" s="181"/>
      <c r="K33" s="181"/>
      <c r="L33" s="182">
        <v>147947</v>
      </c>
      <c r="M33" s="182">
        <v>53907</v>
      </c>
      <c r="N33" s="182"/>
      <c r="O33" s="182">
        <v>73635</v>
      </c>
      <c r="P33" s="182">
        <v>27582</v>
      </c>
      <c r="Q33" s="182"/>
      <c r="R33" s="182">
        <v>74312</v>
      </c>
      <c r="S33" s="182">
        <v>26325</v>
      </c>
    </row>
    <row r="34" spans="1:19" ht="10.5" customHeight="1" x14ac:dyDescent="0.2">
      <c r="A34" s="79" t="s">
        <v>82</v>
      </c>
      <c r="B34" s="15">
        <v>41</v>
      </c>
      <c r="C34" s="15">
        <v>3</v>
      </c>
      <c r="D34" s="15"/>
      <c r="E34" s="15">
        <v>21</v>
      </c>
      <c r="F34" s="15">
        <v>0</v>
      </c>
      <c r="G34" s="15"/>
      <c r="H34" s="15">
        <v>20</v>
      </c>
      <c r="I34" s="15">
        <v>3</v>
      </c>
      <c r="J34" s="15"/>
      <c r="K34" s="15"/>
      <c r="L34" s="15">
        <v>72707</v>
      </c>
      <c r="M34" s="15">
        <v>3775</v>
      </c>
      <c r="N34" s="15"/>
      <c r="O34" s="15">
        <v>36727</v>
      </c>
      <c r="P34" s="15">
        <v>1921</v>
      </c>
      <c r="Q34" s="15"/>
      <c r="R34" s="15">
        <v>35980</v>
      </c>
      <c r="S34" s="15">
        <v>1854</v>
      </c>
    </row>
    <row r="35" spans="1:19" ht="10.5" customHeight="1" x14ac:dyDescent="0.2">
      <c r="A35" s="79" t="s">
        <v>81</v>
      </c>
      <c r="B35" s="15">
        <v>62</v>
      </c>
      <c r="C35" s="15">
        <v>84</v>
      </c>
      <c r="D35" s="15"/>
      <c r="E35" s="15">
        <v>31</v>
      </c>
      <c r="F35" s="15">
        <v>44</v>
      </c>
      <c r="G35" s="15"/>
      <c r="H35" s="15">
        <v>31</v>
      </c>
      <c r="I35" s="15">
        <v>40</v>
      </c>
      <c r="J35" s="15"/>
      <c r="K35" s="15"/>
      <c r="L35" s="15">
        <v>75240</v>
      </c>
      <c r="M35" s="15">
        <v>50132</v>
      </c>
      <c r="N35" s="15"/>
      <c r="O35" s="15">
        <v>36908</v>
      </c>
      <c r="P35" s="15">
        <v>25661</v>
      </c>
      <c r="Q35" s="15"/>
      <c r="R35" s="15">
        <v>38332</v>
      </c>
      <c r="S35" s="15">
        <v>24471</v>
      </c>
    </row>
    <row r="36" spans="1:19" ht="10.5" customHeight="1" x14ac:dyDescent="0.2">
      <c r="A36" s="80"/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8"/>
      <c r="M36" s="178"/>
      <c r="N36" s="178"/>
      <c r="O36" s="178"/>
      <c r="P36" s="178"/>
      <c r="Q36" s="178"/>
      <c r="R36" s="178"/>
      <c r="S36" s="178"/>
    </row>
    <row r="37" spans="1:19" ht="10.5" customHeight="1" x14ac:dyDescent="0.2">
      <c r="A37" s="78" t="s">
        <v>31</v>
      </c>
      <c r="B37" s="181">
        <v>48</v>
      </c>
      <c r="C37" s="181">
        <v>77</v>
      </c>
      <c r="D37" s="181"/>
      <c r="E37" s="181">
        <v>21</v>
      </c>
      <c r="F37" s="181">
        <v>36</v>
      </c>
      <c r="G37" s="181"/>
      <c r="H37" s="181">
        <v>27</v>
      </c>
      <c r="I37" s="181">
        <v>41</v>
      </c>
      <c r="J37" s="181"/>
      <c r="K37" s="181"/>
      <c r="L37" s="182">
        <v>21422</v>
      </c>
      <c r="M37" s="182">
        <v>10514</v>
      </c>
      <c r="N37" s="182"/>
      <c r="O37" s="182">
        <v>10634</v>
      </c>
      <c r="P37" s="182">
        <v>5736</v>
      </c>
      <c r="Q37" s="182"/>
      <c r="R37" s="182">
        <v>10788</v>
      </c>
      <c r="S37" s="182">
        <v>4778</v>
      </c>
    </row>
    <row r="38" spans="1:19" ht="10.5" customHeight="1" x14ac:dyDescent="0.2">
      <c r="A38" s="79" t="s">
        <v>82</v>
      </c>
      <c r="B38" s="15">
        <v>26</v>
      </c>
      <c r="C38" s="15">
        <v>12</v>
      </c>
      <c r="D38" s="15"/>
      <c r="E38" s="15">
        <v>8</v>
      </c>
      <c r="F38" s="15">
        <v>6</v>
      </c>
      <c r="G38" s="15"/>
      <c r="H38" s="15">
        <v>18</v>
      </c>
      <c r="I38" s="15">
        <v>6</v>
      </c>
      <c r="J38" s="15"/>
      <c r="K38" s="15"/>
      <c r="L38" s="15">
        <v>12694</v>
      </c>
      <c r="M38" s="15">
        <v>1144</v>
      </c>
      <c r="N38" s="15"/>
      <c r="O38" s="15">
        <v>6398</v>
      </c>
      <c r="P38" s="15">
        <v>553</v>
      </c>
      <c r="Q38" s="15"/>
      <c r="R38" s="15">
        <v>6296</v>
      </c>
      <c r="S38" s="15">
        <v>591</v>
      </c>
    </row>
    <row r="39" spans="1:19" ht="10.5" customHeight="1" x14ac:dyDescent="0.2">
      <c r="A39" s="79" t="s">
        <v>81</v>
      </c>
      <c r="B39" s="15">
        <v>22</v>
      </c>
      <c r="C39" s="15">
        <v>65</v>
      </c>
      <c r="D39" s="15"/>
      <c r="E39" s="15">
        <v>13</v>
      </c>
      <c r="F39" s="15">
        <v>30</v>
      </c>
      <c r="G39" s="15"/>
      <c r="H39" s="15">
        <v>9</v>
      </c>
      <c r="I39" s="15">
        <v>35</v>
      </c>
      <c r="J39" s="15"/>
      <c r="K39" s="15"/>
      <c r="L39" s="15">
        <v>8728</v>
      </c>
      <c r="M39" s="15">
        <v>9370</v>
      </c>
      <c r="N39" s="15"/>
      <c r="O39" s="15">
        <v>4236</v>
      </c>
      <c r="P39" s="15">
        <v>5183</v>
      </c>
      <c r="Q39" s="15"/>
      <c r="R39" s="15">
        <v>4492</v>
      </c>
      <c r="S39" s="15">
        <v>4187</v>
      </c>
    </row>
    <row r="40" spans="1:19" ht="10.5" customHeight="1" x14ac:dyDescent="0.2">
      <c r="A40" s="80"/>
      <c r="B40" s="177"/>
      <c r="C40" s="177"/>
      <c r="D40" s="177"/>
      <c r="E40" s="177"/>
      <c r="F40" s="177"/>
      <c r="G40" s="177"/>
      <c r="H40" s="177"/>
      <c r="I40" s="177"/>
      <c r="J40" s="177"/>
      <c r="K40" s="177"/>
      <c r="L40" s="178"/>
      <c r="M40" s="178"/>
      <c r="N40" s="178"/>
      <c r="O40" s="178"/>
      <c r="P40" s="178"/>
      <c r="Q40" s="178"/>
      <c r="R40" s="178"/>
      <c r="S40" s="178"/>
    </row>
    <row r="41" spans="1:19" ht="10.5" customHeight="1" x14ac:dyDescent="0.2">
      <c r="A41" s="78" t="s">
        <v>30</v>
      </c>
      <c r="B41" s="181">
        <v>365</v>
      </c>
      <c r="C41" s="181">
        <v>353</v>
      </c>
      <c r="D41" s="181"/>
      <c r="E41" s="181">
        <v>187</v>
      </c>
      <c r="F41" s="181">
        <v>145</v>
      </c>
      <c r="G41" s="181"/>
      <c r="H41" s="181">
        <v>178</v>
      </c>
      <c r="I41" s="181">
        <v>208</v>
      </c>
      <c r="J41" s="181"/>
      <c r="K41" s="181"/>
      <c r="L41" s="182">
        <v>159202</v>
      </c>
      <c r="M41" s="182">
        <v>100421</v>
      </c>
      <c r="N41" s="182"/>
      <c r="O41" s="182">
        <v>82582</v>
      </c>
      <c r="P41" s="182">
        <v>46092</v>
      </c>
      <c r="Q41" s="182"/>
      <c r="R41" s="182">
        <v>76620</v>
      </c>
      <c r="S41" s="182">
        <v>54329</v>
      </c>
    </row>
    <row r="42" spans="1:19" ht="10.5" customHeight="1" x14ac:dyDescent="0.2">
      <c r="A42" s="79" t="s">
        <v>82</v>
      </c>
      <c r="B42" s="15">
        <v>221</v>
      </c>
      <c r="C42" s="15">
        <v>67</v>
      </c>
      <c r="D42" s="15"/>
      <c r="E42" s="15">
        <v>114</v>
      </c>
      <c r="F42" s="15">
        <v>25</v>
      </c>
      <c r="G42" s="15"/>
      <c r="H42" s="15">
        <v>107</v>
      </c>
      <c r="I42" s="15">
        <v>42</v>
      </c>
      <c r="J42" s="15"/>
      <c r="K42" s="15"/>
      <c r="L42" s="15">
        <v>105270</v>
      </c>
      <c r="M42" s="15">
        <v>11343</v>
      </c>
      <c r="N42" s="15"/>
      <c r="O42" s="15">
        <v>54422</v>
      </c>
      <c r="P42" s="15">
        <v>4916</v>
      </c>
      <c r="Q42" s="15"/>
      <c r="R42" s="15">
        <v>50848</v>
      </c>
      <c r="S42" s="15">
        <v>6427</v>
      </c>
    </row>
    <row r="43" spans="1:19" ht="10.5" customHeight="1" x14ac:dyDescent="0.2">
      <c r="A43" s="79" t="s">
        <v>81</v>
      </c>
      <c r="B43" s="15">
        <v>144</v>
      </c>
      <c r="C43" s="15">
        <v>286</v>
      </c>
      <c r="D43" s="15"/>
      <c r="E43" s="15">
        <v>73</v>
      </c>
      <c r="F43" s="15">
        <v>120</v>
      </c>
      <c r="G43" s="15"/>
      <c r="H43" s="15">
        <v>71</v>
      </c>
      <c r="I43" s="15">
        <v>166</v>
      </c>
      <c r="J43" s="15"/>
      <c r="K43" s="15"/>
      <c r="L43" s="15">
        <v>53932</v>
      </c>
      <c r="M43" s="15">
        <v>89078</v>
      </c>
      <c r="N43" s="15"/>
      <c r="O43" s="15">
        <v>28160</v>
      </c>
      <c r="P43" s="15">
        <v>41176</v>
      </c>
      <c r="Q43" s="15"/>
      <c r="R43" s="15">
        <v>25772</v>
      </c>
      <c r="S43" s="15">
        <v>47902</v>
      </c>
    </row>
    <row r="44" spans="1:19" ht="10.5" customHeight="1" x14ac:dyDescent="0.2">
      <c r="A44" s="80"/>
      <c r="B44" s="177"/>
      <c r="C44" s="177"/>
      <c r="D44" s="177"/>
      <c r="E44" s="177"/>
      <c r="F44" s="177"/>
      <c r="G44" s="177"/>
      <c r="H44" s="177"/>
      <c r="I44" s="177"/>
      <c r="J44" s="177"/>
      <c r="K44" s="177"/>
      <c r="L44" s="178"/>
      <c r="M44" s="178"/>
      <c r="N44" s="178"/>
      <c r="O44" s="178"/>
      <c r="P44" s="178"/>
      <c r="Q44" s="178"/>
      <c r="R44" s="178"/>
      <c r="S44" s="178"/>
    </row>
    <row r="45" spans="1:19" ht="10.5" customHeight="1" x14ac:dyDescent="0.2">
      <c r="A45" s="81" t="s">
        <v>29</v>
      </c>
      <c r="B45" s="181">
        <v>160</v>
      </c>
      <c r="C45" s="181">
        <v>177</v>
      </c>
      <c r="D45" s="181"/>
      <c r="E45" s="181">
        <v>68</v>
      </c>
      <c r="F45" s="181">
        <v>94</v>
      </c>
      <c r="G45" s="181"/>
      <c r="H45" s="181">
        <v>92</v>
      </c>
      <c r="I45" s="181">
        <v>83</v>
      </c>
      <c r="J45" s="181"/>
      <c r="K45" s="181"/>
      <c r="L45" s="182">
        <v>118070</v>
      </c>
      <c r="M45" s="182">
        <v>66767</v>
      </c>
      <c r="N45" s="182"/>
      <c r="O45" s="182">
        <v>58973</v>
      </c>
      <c r="P45" s="182">
        <v>33218</v>
      </c>
      <c r="Q45" s="182"/>
      <c r="R45" s="182">
        <v>59097</v>
      </c>
      <c r="S45" s="182">
        <v>33549</v>
      </c>
    </row>
    <row r="46" spans="1:19" ht="10.5" customHeight="1" x14ac:dyDescent="0.2">
      <c r="A46" s="79" t="s">
        <v>82</v>
      </c>
      <c r="B46" s="15">
        <v>81</v>
      </c>
      <c r="C46" s="15">
        <v>6</v>
      </c>
      <c r="D46" s="15"/>
      <c r="E46" s="15">
        <v>27</v>
      </c>
      <c r="F46" s="15">
        <v>1</v>
      </c>
      <c r="G46" s="15"/>
      <c r="H46" s="15">
        <v>54</v>
      </c>
      <c r="I46" s="15">
        <v>5</v>
      </c>
      <c r="J46" s="15"/>
      <c r="K46" s="15"/>
      <c r="L46" s="15">
        <v>63392</v>
      </c>
      <c r="M46" s="15">
        <v>6174</v>
      </c>
      <c r="N46" s="15"/>
      <c r="O46" s="15">
        <v>32034</v>
      </c>
      <c r="P46" s="15">
        <v>3044</v>
      </c>
      <c r="Q46" s="15"/>
      <c r="R46" s="15">
        <v>31358</v>
      </c>
      <c r="S46" s="15">
        <v>3130</v>
      </c>
    </row>
    <row r="47" spans="1:19" ht="10.5" customHeight="1" x14ac:dyDescent="0.2">
      <c r="A47" s="79" t="s">
        <v>81</v>
      </c>
      <c r="B47" s="15">
        <v>79</v>
      </c>
      <c r="C47" s="15">
        <v>171</v>
      </c>
      <c r="D47" s="15"/>
      <c r="E47" s="15">
        <v>41</v>
      </c>
      <c r="F47" s="15">
        <v>93</v>
      </c>
      <c r="G47" s="15"/>
      <c r="H47" s="15">
        <v>38</v>
      </c>
      <c r="I47" s="15">
        <v>78</v>
      </c>
      <c r="J47" s="15"/>
      <c r="K47" s="15"/>
      <c r="L47" s="15">
        <v>54678</v>
      </c>
      <c r="M47" s="15">
        <v>60593</v>
      </c>
      <c r="N47" s="15"/>
      <c r="O47" s="15">
        <v>26939</v>
      </c>
      <c r="P47" s="15">
        <v>30174</v>
      </c>
      <c r="Q47" s="15"/>
      <c r="R47" s="15">
        <v>27739</v>
      </c>
      <c r="S47" s="15">
        <v>30419</v>
      </c>
    </row>
    <row r="48" spans="1:19" ht="10.5" customHeight="1" x14ac:dyDescent="0.2">
      <c r="A48" s="80"/>
      <c r="B48" s="177"/>
      <c r="C48" s="177"/>
      <c r="D48" s="177"/>
      <c r="E48" s="177"/>
      <c r="F48" s="177"/>
      <c r="G48" s="177"/>
      <c r="H48" s="177"/>
      <c r="I48" s="177"/>
      <c r="J48" s="177"/>
      <c r="K48" s="177"/>
      <c r="L48" s="178"/>
      <c r="M48" s="178"/>
      <c r="N48" s="178"/>
      <c r="O48" s="178"/>
      <c r="P48" s="178"/>
      <c r="Q48" s="178"/>
      <c r="R48" s="178"/>
      <c r="S48" s="178"/>
    </row>
    <row r="49" spans="1:19" ht="10.5" customHeight="1" x14ac:dyDescent="0.2">
      <c r="A49" s="78" t="s">
        <v>28</v>
      </c>
      <c r="B49" s="181">
        <v>1399</v>
      </c>
      <c r="C49" s="181">
        <v>1403</v>
      </c>
      <c r="D49" s="181"/>
      <c r="E49" s="181">
        <v>700</v>
      </c>
      <c r="F49" s="181">
        <v>681</v>
      </c>
      <c r="G49" s="181"/>
      <c r="H49" s="181">
        <v>699</v>
      </c>
      <c r="I49" s="181">
        <v>722</v>
      </c>
      <c r="J49" s="181"/>
      <c r="K49" s="181"/>
      <c r="L49" s="182">
        <v>51873</v>
      </c>
      <c r="M49" s="182">
        <v>22655</v>
      </c>
      <c r="N49" s="182"/>
      <c r="O49" s="182">
        <v>25941</v>
      </c>
      <c r="P49" s="182">
        <v>11765</v>
      </c>
      <c r="Q49" s="182"/>
      <c r="R49" s="182">
        <v>25932</v>
      </c>
      <c r="S49" s="182">
        <v>10890</v>
      </c>
    </row>
    <row r="50" spans="1:19" ht="10.5" customHeight="1" x14ac:dyDescent="0.2">
      <c r="A50" s="79" t="s">
        <v>82</v>
      </c>
      <c r="B50" s="15">
        <v>1010</v>
      </c>
      <c r="C50" s="15">
        <v>299</v>
      </c>
      <c r="D50" s="15"/>
      <c r="E50" s="15">
        <v>514</v>
      </c>
      <c r="F50" s="15">
        <v>141</v>
      </c>
      <c r="G50" s="15"/>
      <c r="H50" s="15">
        <v>496</v>
      </c>
      <c r="I50" s="15">
        <v>158</v>
      </c>
      <c r="J50" s="15"/>
      <c r="K50" s="15"/>
      <c r="L50" s="15">
        <v>28070</v>
      </c>
      <c r="M50" s="15">
        <v>1866</v>
      </c>
      <c r="N50" s="15"/>
      <c r="O50" s="15">
        <v>14269</v>
      </c>
      <c r="P50" s="15">
        <v>939</v>
      </c>
      <c r="Q50" s="15"/>
      <c r="R50" s="15">
        <v>13801</v>
      </c>
      <c r="S50" s="15">
        <v>927</v>
      </c>
    </row>
    <row r="51" spans="1:19" ht="10.5" customHeight="1" x14ac:dyDescent="0.2">
      <c r="A51" s="79" t="s">
        <v>81</v>
      </c>
      <c r="B51" s="15">
        <v>389</v>
      </c>
      <c r="C51" s="15">
        <v>1104</v>
      </c>
      <c r="D51" s="15"/>
      <c r="E51" s="15">
        <v>186</v>
      </c>
      <c r="F51" s="15">
        <v>540</v>
      </c>
      <c r="G51" s="15"/>
      <c r="H51" s="15">
        <v>203</v>
      </c>
      <c r="I51" s="15">
        <v>564</v>
      </c>
      <c r="J51" s="15"/>
      <c r="K51" s="15"/>
      <c r="L51" s="15">
        <v>23803</v>
      </c>
      <c r="M51" s="15">
        <v>20789</v>
      </c>
      <c r="N51" s="15"/>
      <c r="O51" s="15">
        <v>11672</v>
      </c>
      <c r="P51" s="15">
        <v>10826</v>
      </c>
      <c r="Q51" s="15"/>
      <c r="R51" s="15">
        <v>12131</v>
      </c>
      <c r="S51" s="15">
        <v>9963</v>
      </c>
    </row>
    <row r="52" spans="1:19" ht="10.5" customHeight="1" x14ac:dyDescent="0.2">
      <c r="A52" s="80"/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8"/>
      <c r="M52" s="178"/>
      <c r="N52" s="178"/>
      <c r="O52" s="178"/>
      <c r="P52" s="178"/>
      <c r="Q52" s="178"/>
      <c r="R52" s="178"/>
      <c r="S52" s="178"/>
    </row>
    <row r="53" spans="1:19" ht="10.5" customHeight="1" x14ac:dyDescent="0.2">
      <c r="A53" s="78" t="s">
        <v>27</v>
      </c>
      <c r="B53" s="181">
        <v>8</v>
      </c>
      <c r="C53" s="181">
        <v>19</v>
      </c>
      <c r="D53" s="181"/>
      <c r="E53" s="181">
        <v>2</v>
      </c>
      <c r="F53" s="181">
        <v>10</v>
      </c>
      <c r="G53" s="181"/>
      <c r="H53" s="181">
        <v>6</v>
      </c>
      <c r="I53" s="181">
        <v>9</v>
      </c>
      <c r="J53" s="181"/>
      <c r="K53" s="181"/>
      <c r="L53" s="182">
        <v>12662</v>
      </c>
      <c r="M53" s="182">
        <v>6785</v>
      </c>
      <c r="N53" s="182"/>
      <c r="O53" s="182">
        <v>6417</v>
      </c>
      <c r="P53" s="182">
        <v>3403</v>
      </c>
      <c r="Q53" s="182"/>
      <c r="R53" s="182">
        <v>6245</v>
      </c>
      <c r="S53" s="182">
        <v>3382</v>
      </c>
    </row>
    <row r="54" spans="1:19" ht="10.5" customHeight="1" x14ac:dyDescent="0.2">
      <c r="A54" s="79" t="s">
        <v>82</v>
      </c>
      <c r="B54" s="15">
        <v>5</v>
      </c>
      <c r="C54" s="15">
        <v>0</v>
      </c>
      <c r="D54" s="15"/>
      <c r="E54" s="15">
        <v>0</v>
      </c>
      <c r="F54" s="15">
        <v>0</v>
      </c>
      <c r="G54" s="15"/>
      <c r="H54" s="15">
        <v>5</v>
      </c>
      <c r="I54" s="15">
        <v>0</v>
      </c>
      <c r="J54" s="15"/>
      <c r="K54" s="15"/>
      <c r="L54" s="15">
        <v>7739</v>
      </c>
      <c r="M54" s="15">
        <v>666</v>
      </c>
      <c r="N54" s="15"/>
      <c r="O54" s="15">
        <v>3971</v>
      </c>
      <c r="P54" s="15">
        <v>332</v>
      </c>
      <c r="Q54" s="15"/>
      <c r="R54" s="15">
        <v>3768</v>
      </c>
      <c r="S54" s="15">
        <v>334</v>
      </c>
    </row>
    <row r="55" spans="1:19" ht="10.5" customHeight="1" x14ac:dyDescent="0.2">
      <c r="A55" s="79" t="s">
        <v>81</v>
      </c>
      <c r="B55" s="15">
        <v>3</v>
      </c>
      <c r="C55" s="15">
        <v>19</v>
      </c>
      <c r="D55" s="15"/>
      <c r="E55" s="15">
        <v>2</v>
      </c>
      <c r="F55" s="15">
        <v>10</v>
      </c>
      <c r="G55" s="15"/>
      <c r="H55" s="15">
        <v>1</v>
      </c>
      <c r="I55" s="15">
        <v>9</v>
      </c>
      <c r="J55" s="15"/>
      <c r="K55" s="15"/>
      <c r="L55" s="15">
        <v>4923</v>
      </c>
      <c r="M55" s="15">
        <v>6119</v>
      </c>
      <c r="N55" s="15"/>
      <c r="O55" s="15">
        <v>2446</v>
      </c>
      <c r="P55" s="15">
        <v>3071</v>
      </c>
      <c r="Q55" s="15"/>
      <c r="R55" s="15">
        <v>2477</v>
      </c>
      <c r="S55" s="15">
        <v>3048</v>
      </c>
    </row>
    <row r="56" spans="1:19" ht="10.5" customHeight="1" x14ac:dyDescent="0.2">
      <c r="A56" s="183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8"/>
      <c r="M56" s="178"/>
      <c r="N56" s="178"/>
      <c r="O56" s="178"/>
      <c r="P56" s="178"/>
      <c r="Q56" s="178"/>
      <c r="R56" s="178"/>
      <c r="S56" s="178"/>
    </row>
    <row r="57" spans="1:19" ht="10.5" customHeight="1" x14ac:dyDescent="0.2">
      <c r="A57" s="78" t="s">
        <v>26</v>
      </c>
      <c r="B57" s="181">
        <v>351</v>
      </c>
      <c r="C57" s="181">
        <v>382</v>
      </c>
      <c r="D57" s="181"/>
      <c r="E57" s="181">
        <v>191</v>
      </c>
      <c r="F57" s="181">
        <v>188</v>
      </c>
      <c r="G57" s="181"/>
      <c r="H57" s="181">
        <v>160</v>
      </c>
      <c r="I57" s="181">
        <v>194</v>
      </c>
      <c r="J57" s="181"/>
      <c r="K57" s="181"/>
      <c r="L57" s="182">
        <v>62057</v>
      </c>
      <c r="M57" s="182">
        <v>37358</v>
      </c>
      <c r="N57" s="182"/>
      <c r="O57" s="182">
        <v>30983</v>
      </c>
      <c r="P57" s="182">
        <v>18753</v>
      </c>
      <c r="Q57" s="182"/>
      <c r="R57" s="182">
        <v>31074</v>
      </c>
      <c r="S57" s="182">
        <v>18605</v>
      </c>
    </row>
    <row r="58" spans="1:19" ht="10.5" customHeight="1" x14ac:dyDescent="0.2">
      <c r="A58" s="79" t="s">
        <v>82</v>
      </c>
      <c r="B58" s="15">
        <v>255</v>
      </c>
      <c r="C58" s="15">
        <v>73</v>
      </c>
      <c r="D58" s="15"/>
      <c r="E58" s="15">
        <v>134</v>
      </c>
      <c r="F58" s="15">
        <v>35</v>
      </c>
      <c r="G58" s="15"/>
      <c r="H58" s="15">
        <v>121</v>
      </c>
      <c r="I58" s="15">
        <v>38</v>
      </c>
      <c r="J58" s="15"/>
      <c r="K58" s="15"/>
      <c r="L58" s="15">
        <v>37609</v>
      </c>
      <c r="M58" s="15">
        <v>4083</v>
      </c>
      <c r="N58" s="15"/>
      <c r="O58" s="15">
        <v>19069</v>
      </c>
      <c r="P58" s="15">
        <v>2063</v>
      </c>
      <c r="Q58" s="15"/>
      <c r="R58" s="15">
        <v>18540</v>
      </c>
      <c r="S58" s="15">
        <v>2020</v>
      </c>
    </row>
    <row r="59" spans="1:19" ht="10.5" customHeight="1" x14ac:dyDescent="0.2">
      <c r="A59" s="79" t="s">
        <v>81</v>
      </c>
      <c r="B59" s="15">
        <v>96</v>
      </c>
      <c r="C59" s="15">
        <v>309</v>
      </c>
      <c r="D59" s="15"/>
      <c r="E59" s="15">
        <v>57</v>
      </c>
      <c r="F59" s="15">
        <v>153</v>
      </c>
      <c r="G59" s="15"/>
      <c r="H59" s="15">
        <v>39</v>
      </c>
      <c r="I59" s="15">
        <v>156</v>
      </c>
      <c r="J59" s="15"/>
      <c r="K59" s="15"/>
      <c r="L59" s="15">
        <v>24448</v>
      </c>
      <c r="M59" s="15">
        <v>33275</v>
      </c>
      <c r="N59" s="15"/>
      <c r="O59" s="15">
        <v>11914</v>
      </c>
      <c r="P59" s="15">
        <v>16690</v>
      </c>
      <c r="Q59" s="15"/>
      <c r="R59" s="15">
        <v>12534</v>
      </c>
      <c r="S59" s="15">
        <v>16585</v>
      </c>
    </row>
    <row r="60" spans="1:19" ht="10.5" customHeight="1" x14ac:dyDescent="0.2">
      <c r="A60" s="80"/>
      <c r="B60" s="177"/>
      <c r="C60" s="177"/>
      <c r="D60" s="177"/>
      <c r="E60" s="177"/>
      <c r="F60" s="177"/>
      <c r="G60" s="177"/>
      <c r="H60" s="177"/>
      <c r="I60" s="177"/>
      <c r="J60" s="177"/>
      <c r="K60" s="177"/>
      <c r="L60" s="178"/>
      <c r="M60" s="178"/>
      <c r="N60" s="178"/>
      <c r="O60" s="178"/>
      <c r="P60" s="178"/>
      <c r="Q60" s="178"/>
      <c r="R60" s="178"/>
      <c r="S60" s="178"/>
    </row>
    <row r="61" spans="1:19" ht="10.5" customHeight="1" x14ac:dyDescent="0.2">
      <c r="A61" s="78" t="s">
        <v>25</v>
      </c>
      <c r="B61" s="181">
        <v>78</v>
      </c>
      <c r="C61" s="181">
        <v>215</v>
      </c>
      <c r="D61" s="181"/>
      <c r="E61" s="181">
        <v>39</v>
      </c>
      <c r="F61" s="181">
        <v>115</v>
      </c>
      <c r="G61" s="181"/>
      <c r="H61" s="181">
        <v>39</v>
      </c>
      <c r="I61" s="181">
        <v>100</v>
      </c>
      <c r="J61" s="181"/>
      <c r="K61" s="181"/>
      <c r="L61" s="182">
        <v>98563</v>
      </c>
      <c r="M61" s="182">
        <v>54273</v>
      </c>
      <c r="N61" s="182"/>
      <c r="O61" s="182">
        <v>48951</v>
      </c>
      <c r="P61" s="182">
        <v>27103</v>
      </c>
      <c r="Q61" s="182"/>
      <c r="R61" s="182">
        <v>49612</v>
      </c>
      <c r="S61" s="182">
        <v>27170</v>
      </c>
    </row>
    <row r="62" spans="1:19" ht="10.5" customHeight="1" x14ac:dyDescent="0.2">
      <c r="A62" s="79" t="s">
        <v>82</v>
      </c>
      <c r="B62" s="15">
        <v>36</v>
      </c>
      <c r="C62" s="15">
        <v>14</v>
      </c>
      <c r="D62" s="15"/>
      <c r="E62" s="15">
        <v>17</v>
      </c>
      <c r="F62" s="15">
        <v>3</v>
      </c>
      <c r="G62" s="15"/>
      <c r="H62" s="15">
        <v>19</v>
      </c>
      <c r="I62" s="15">
        <v>11</v>
      </c>
      <c r="J62" s="15"/>
      <c r="K62" s="15"/>
      <c r="L62" s="15">
        <v>54615</v>
      </c>
      <c r="M62" s="15">
        <v>4409</v>
      </c>
      <c r="N62" s="15"/>
      <c r="O62" s="15">
        <v>27539</v>
      </c>
      <c r="P62" s="15">
        <v>2146</v>
      </c>
      <c r="Q62" s="15"/>
      <c r="R62" s="15">
        <v>27076</v>
      </c>
      <c r="S62" s="15">
        <v>2263</v>
      </c>
    </row>
    <row r="63" spans="1:19" ht="10.5" customHeight="1" x14ac:dyDescent="0.2">
      <c r="A63" s="79" t="s">
        <v>81</v>
      </c>
      <c r="B63" s="15">
        <v>42</v>
      </c>
      <c r="C63" s="15">
        <v>201</v>
      </c>
      <c r="D63" s="15"/>
      <c r="E63" s="15">
        <v>22</v>
      </c>
      <c r="F63" s="15">
        <v>112</v>
      </c>
      <c r="G63" s="15"/>
      <c r="H63" s="15">
        <v>20</v>
      </c>
      <c r="I63" s="15">
        <v>89</v>
      </c>
      <c r="J63" s="15"/>
      <c r="K63" s="15"/>
      <c r="L63" s="15">
        <v>43948</v>
      </c>
      <c r="M63" s="15">
        <v>49864</v>
      </c>
      <c r="N63" s="15"/>
      <c r="O63" s="15">
        <v>21412</v>
      </c>
      <c r="P63" s="15">
        <v>24957</v>
      </c>
      <c r="Q63" s="15"/>
      <c r="R63" s="15">
        <v>22536</v>
      </c>
      <c r="S63" s="15">
        <v>24907</v>
      </c>
    </row>
    <row r="64" spans="1:19" s="43" customFormat="1" ht="3.75" customHeight="1" thickBot="1" x14ac:dyDescent="0.3">
      <c r="A64" s="83"/>
      <c r="B64" s="74"/>
      <c r="C64" s="74"/>
      <c r="D64" s="74"/>
      <c r="E64" s="74"/>
      <c r="F64" s="74"/>
      <c r="G64" s="74"/>
      <c r="H64" s="75"/>
      <c r="I64" s="75"/>
      <c r="J64" s="74"/>
      <c r="K64" s="74"/>
      <c r="L64" s="76"/>
      <c r="M64" s="76"/>
      <c r="N64" s="76"/>
      <c r="O64" s="76"/>
      <c r="P64" s="76"/>
      <c r="Q64" s="76"/>
      <c r="R64" s="76"/>
      <c r="S64" s="76"/>
    </row>
    <row r="65" spans="1:19" s="43" customFormat="1" ht="10.5" customHeight="1" x14ac:dyDescent="0.25">
      <c r="A65" s="48"/>
      <c r="B65" s="7"/>
      <c r="C65" s="7"/>
      <c r="D65" s="7"/>
      <c r="E65" s="7"/>
      <c r="F65" s="7"/>
      <c r="G65" s="7"/>
      <c r="H65" s="6"/>
      <c r="I65" s="6"/>
      <c r="J65" s="7"/>
      <c r="K65" s="7"/>
      <c r="L65" s="28"/>
      <c r="M65" s="28"/>
      <c r="N65" s="28"/>
      <c r="O65" s="28"/>
      <c r="P65" s="28"/>
      <c r="Q65" s="28"/>
      <c r="R65" s="7"/>
      <c r="S65" s="7" t="s">
        <v>83</v>
      </c>
    </row>
    <row r="66" spans="1:19" ht="12.75" customHeight="1" x14ac:dyDescent="0.2">
      <c r="A66" s="205" t="str">
        <f>A$1</f>
        <v>CUADRO Nº 2.10</v>
      </c>
      <c r="B66" s="205"/>
      <c r="C66" s="205"/>
      <c r="D66" s="205"/>
      <c r="E66" s="205"/>
      <c r="F66" s="205"/>
      <c r="G66" s="205"/>
      <c r="H66" s="205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</row>
    <row r="67" spans="1:19" ht="20.25" customHeight="1" x14ac:dyDescent="0.2">
      <c r="A67" s="219" t="str">
        <f>A$2</f>
        <v>PERÚ: POBLACIÓN CENSADA INDÍGENA U ORIGINARIA DE LA AMAZONÍA, BLANCA(O), MESTIZA(O) Y OTRA(O) DE 12 A 24 AÑOS DE EDAD, POR SEXO Y CONDICIÓN DE ASISTENCIA A UN CENTRO DE ENSEÑANZA, SEGÚN GRUPO DE EDAD, ÁREA DE RESIDENCIA Y DEPARTAMENTO, 2017</v>
      </c>
      <c r="B67" s="219"/>
      <c r="C67" s="219"/>
      <c r="D67" s="219"/>
      <c r="E67" s="219"/>
      <c r="F67" s="219"/>
      <c r="G67" s="219"/>
      <c r="H67" s="219"/>
      <c r="I67" s="219"/>
      <c r="J67" s="219"/>
      <c r="K67" s="219"/>
      <c r="L67" s="219"/>
      <c r="M67" s="219"/>
      <c r="N67" s="219"/>
      <c r="O67" s="219"/>
      <c r="P67" s="219"/>
      <c r="Q67" s="219"/>
      <c r="R67" s="219"/>
      <c r="S67" s="219"/>
    </row>
    <row r="68" spans="1:19" ht="12.75" customHeight="1" x14ac:dyDescent="0.25">
      <c r="A68" s="215" t="str">
        <f>A$3</f>
        <v>(Cifras absolutas)</v>
      </c>
      <c r="B68" s="215"/>
      <c r="C68" s="215"/>
      <c r="D68" s="215"/>
      <c r="E68" s="215"/>
      <c r="F68" s="215"/>
      <c r="G68" s="215"/>
      <c r="H68" s="215"/>
      <c r="I68" s="215"/>
      <c r="J68" s="215"/>
      <c r="K68" s="215"/>
      <c r="L68" s="215"/>
      <c r="M68" s="215"/>
      <c r="N68" s="215"/>
      <c r="O68" s="215"/>
      <c r="P68" s="215"/>
      <c r="Q68" s="215"/>
      <c r="R68" s="215"/>
      <c r="S68" s="215"/>
    </row>
    <row r="69" spans="1:19" ht="10.5" customHeight="1" thickBot="1" x14ac:dyDescent="0.3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10"/>
    </row>
    <row r="70" spans="1:19" ht="12.75" customHeight="1" thickBot="1" x14ac:dyDescent="0.25">
      <c r="A70" s="208" t="str">
        <f>A$5</f>
        <v>Grupo de edad / Área de residencia y departamento</v>
      </c>
      <c r="B70" s="210" t="str">
        <f>B$5</f>
        <v>Indígena u originaria de la Amazonía</v>
      </c>
      <c r="C70" s="211"/>
      <c r="D70" s="211"/>
      <c r="E70" s="211"/>
      <c r="F70" s="211"/>
      <c r="G70" s="211"/>
      <c r="H70" s="211"/>
      <c r="I70" s="211"/>
      <c r="J70" s="212"/>
      <c r="K70" s="211" t="s">
        <v>116</v>
      </c>
      <c r="L70" s="211"/>
      <c r="M70" s="211"/>
      <c r="N70" s="211"/>
      <c r="O70" s="211"/>
      <c r="P70" s="211"/>
      <c r="Q70" s="211"/>
      <c r="R70" s="211"/>
      <c r="S70" s="212"/>
    </row>
    <row r="71" spans="1:19" ht="12.75" customHeight="1" thickBot="1" x14ac:dyDescent="0.25">
      <c r="A71" s="234"/>
      <c r="B71" s="230" t="str">
        <f>B$6</f>
        <v>Total</v>
      </c>
      <c r="C71" s="231"/>
      <c r="D71" s="174"/>
      <c r="E71" s="231" t="str">
        <f>E$6</f>
        <v>Hombre</v>
      </c>
      <c r="F71" s="231"/>
      <c r="G71" s="174"/>
      <c r="H71" s="231" t="str">
        <f>H$6</f>
        <v>Mujer</v>
      </c>
      <c r="I71" s="231"/>
      <c r="J71" s="175"/>
      <c r="K71" s="174"/>
      <c r="L71" s="231" t="str">
        <f>L$6</f>
        <v>Total</v>
      </c>
      <c r="M71" s="231"/>
      <c r="N71" s="174"/>
      <c r="O71" s="231" t="str">
        <f>O$6</f>
        <v>Hombre</v>
      </c>
      <c r="P71" s="231"/>
      <c r="Q71" s="174"/>
      <c r="R71" s="231" t="str">
        <f>R$6</f>
        <v>Mujer</v>
      </c>
      <c r="S71" s="232"/>
    </row>
    <row r="72" spans="1:19" ht="24" customHeight="1" thickBot="1" x14ac:dyDescent="0.25">
      <c r="A72" s="209"/>
      <c r="B72" s="176" t="str">
        <f>B$7</f>
        <v>Asiste</v>
      </c>
      <c r="C72" s="124" t="str">
        <f>C$7</f>
        <v>No asiste</v>
      </c>
      <c r="D72" s="56"/>
      <c r="E72" s="56" t="str">
        <f>E$7</f>
        <v>Asiste</v>
      </c>
      <c r="F72" s="124" t="str">
        <f>F$7</f>
        <v>No asiste</v>
      </c>
      <c r="G72" s="56"/>
      <c r="H72" s="56" t="str">
        <f>H$7</f>
        <v>Asiste</v>
      </c>
      <c r="I72" s="124" t="str">
        <f>I$7</f>
        <v>No asiste</v>
      </c>
      <c r="J72" s="111"/>
      <c r="K72" s="56"/>
      <c r="L72" s="56" t="str">
        <f>L$7</f>
        <v>Asiste</v>
      </c>
      <c r="M72" s="124" t="str">
        <f>M$7</f>
        <v>No asiste</v>
      </c>
      <c r="N72" s="124"/>
      <c r="O72" s="56" t="str">
        <f>O$7</f>
        <v>Asiste</v>
      </c>
      <c r="P72" s="124" t="str">
        <f>P$7</f>
        <v>No asiste</v>
      </c>
      <c r="Q72" s="124"/>
      <c r="R72" s="56" t="str">
        <f>R$7</f>
        <v>Asiste</v>
      </c>
      <c r="S72" s="57" t="str">
        <f>S$7</f>
        <v>No asiste</v>
      </c>
    </row>
    <row r="73" spans="1:19" ht="3.75" customHeight="1" x14ac:dyDescent="0.2">
      <c r="A73" s="186"/>
      <c r="B73" s="187"/>
      <c r="C73" s="188"/>
      <c r="D73" s="187"/>
      <c r="E73" s="187"/>
      <c r="F73" s="188"/>
      <c r="G73" s="187"/>
      <c r="H73" s="187"/>
      <c r="I73" s="188"/>
      <c r="J73" s="187"/>
      <c r="K73" s="187"/>
      <c r="L73" s="187"/>
      <c r="M73" s="188"/>
      <c r="N73" s="188"/>
      <c r="O73" s="187"/>
      <c r="P73" s="188"/>
      <c r="Q73" s="188"/>
      <c r="R73" s="187"/>
      <c r="S73" s="188"/>
    </row>
    <row r="74" spans="1:19" ht="11.1" customHeight="1" x14ac:dyDescent="0.2">
      <c r="A74" s="78" t="s">
        <v>24</v>
      </c>
      <c r="B74" s="181">
        <v>7621</v>
      </c>
      <c r="C74" s="181">
        <v>7737</v>
      </c>
      <c r="D74" s="181"/>
      <c r="E74" s="181">
        <v>3904</v>
      </c>
      <c r="F74" s="181">
        <v>3616</v>
      </c>
      <c r="G74" s="181"/>
      <c r="H74" s="181">
        <v>3717</v>
      </c>
      <c r="I74" s="181">
        <v>4121</v>
      </c>
      <c r="J74" s="181"/>
      <c r="K74" s="181"/>
      <c r="L74" s="181">
        <v>124246</v>
      </c>
      <c r="M74" s="181">
        <v>62081</v>
      </c>
      <c r="N74" s="181"/>
      <c r="O74" s="181">
        <v>62270</v>
      </c>
      <c r="P74" s="181">
        <v>30799</v>
      </c>
      <c r="Q74" s="181"/>
      <c r="R74" s="181">
        <v>61976</v>
      </c>
      <c r="S74" s="181">
        <v>31282</v>
      </c>
    </row>
    <row r="75" spans="1:19" ht="11.1" customHeight="1" x14ac:dyDescent="0.2">
      <c r="A75" s="79" t="s">
        <v>82</v>
      </c>
      <c r="B75" s="15">
        <v>5732</v>
      </c>
      <c r="C75" s="15">
        <v>1534</v>
      </c>
      <c r="D75" s="15"/>
      <c r="E75" s="15">
        <v>2910</v>
      </c>
      <c r="F75" s="15">
        <v>718</v>
      </c>
      <c r="G75" s="15"/>
      <c r="H75" s="15">
        <v>2822</v>
      </c>
      <c r="I75" s="15">
        <v>816</v>
      </c>
      <c r="J75" s="15"/>
      <c r="K75" s="15"/>
      <c r="L75" s="15">
        <v>70621</v>
      </c>
      <c r="M75" s="15">
        <v>5536</v>
      </c>
      <c r="N75" s="15"/>
      <c r="O75" s="15">
        <v>35979</v>
      </c>
      <c r="P75" s="15">
        <v>2728</v>
      </c>
      <c r="Q75" s="15"/>
      <c r="R75" s="15">
        <v>34642</v>
      </c>
      <c r="S75" s="15">
        <v>2808</v>
      </c>
    </row>
    <row r="76" spans="1:19" ht="11.1" customHeight="1" x14ac:dyDescent="0.2">
      <c r="A76" s="79" t="s">
        <v>81</v>
      </c>
      <c r="B76" s="15">
        <v>1889</v>
      </c>
      <c r="C76" s="15">
        <v>6203</v>
      </c>
      <c r="D76" s="15"/>
      <c r="E76" s="15">
        <v>994</v>
      </c>
      <c r="F76" s="15">
        <v>2898</v>
      </c>
      <c r="G76" s="15"/>
      <c r="H76" s="15">
        <v>895</v>
      </c>
      <c r="I76" s="15">
        <v>3305</v>
      </c>
      <c r="J76" s="15"/>
      <c r="K76" s="15"/>
      <c r="L76" s="15">
        <v>53625</v>
      </c>
      <c r="M76" s="15">
        <v>56545</v>
      </c>
      <c r="N76" s="15"/>
      <c r="O76" s="15">
        <v>26291</v>
      </c>
      <c r="P76" s="15">
        <v>28071</v>
      </c>
      <c r="Q76" s="15"/>
      <c r="R76" s="15">
        <v>27334</v>
      </c>
      <c r="S76" s="15">
        <v>28474</v>
      </c>
    </row>
    <row r="77" spans="1:19" ht="11.1" customHeight="1" x14ac:dyDescent="0.25">
      <c r="A77" s="79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184"/>
      <c r="M77" s="184"/>
      <c r="N77" s="184"/>
      <c r="O77" s="30"/>
      <c r="P77" s="30"/>
      <c r="Q77" s="30"/>
      <c r="R77" s="30"/>
      <c r="S77" s="30"/>
    </row>
    <row r="78" spans="1:19" ht="11.1" customHeight="1" x14ac:dyDescent="0.2">
      <c r="A78" s="78" t="s">
        <v>23</v>
      </c>
      <c r="B78" s="181">
        <v>126</v>
      </c>
      <c r="C78" s="181">
        <v>139</v>
      </c>
      <c r="D78" s="181"/>
      <c r="E78" s="181">
        <v>69</v>
      </c>
      <c r="F78" s="181">
        <v>72</v>
      </c>
      <c r="G78" s="181"/>
      <c r="H78" s="181">
        <v>57</v>
      </c>
      <c r="I78" s="181">
        <v>67</v>
      </c>
      <c r="J78" s="181"/>
      <c r="K78" s="181"/>
      <c r="L78" s="181">
        <v>218491</v>
      </c>
      <c r="M78" s="181">
        <v>139699</v>
      </c>
      <c r="N78" s="181"/>
      <c r="O78" s="181">
        <v>108695</v>
      </c>
      <c r="P78" s="181">
        <v>67759</v>
      </c>
      <c r="Q78" s="181"/>
      <c r="R78" s="181">
        <v>109796</v>
      </c>
      <c r="S78" s="181">
        <v>71940</v>
      </c>
    </row>
    <row r="79" spans="1:19" ht="11.1" customHeight="1" x14ac:dyDescent="0.2">
      <c r="A79" s="79" t="s">
        <v>82</v>
      </c>
      <c r="B79" s="15">
        <v>33</v>
      </c>
      <c r="C79" s="15">
        <v>7</v>
      </c>
      <c r="D79" s="15"/>
      <c r="E79" s="15">
        <v>19</v>
      </c>
      <c r="F79" s="15">
        <v>1</v>
      </c>
      <c r="G79" s="15"/>
      <c r="H79" s="15">
        <v>14</v>
      </c>
      <c r="I79" s="15">
        <v>6</v>
      </c>
      <c r="J79" s="15"/>
      <c r="K79" s="15"/>
      <c r="L79" s="15">
        <v>125606</v>
      </c>
      <c r="M79" s="15">
        <v>13642</v>
      </c>
      <c r="N79" s="15"/>
      <c r="O79" s="15">
        <v>63727</v>
      </c>
      <c r="P79" s="15">
        <v>6284</v>
      </c>
      <c r="Q79" s="15"/>
      <c r="R79" s="15">
        <v>61879</v>
      </c>
      <c r="S79" s="15">
        <v>7358</v>
      </c>
    </row>
    <row r="80" spans="1:19" ht="11.1" customHeight="1" x14ac:dyDescent="0.2">
      <c r="A80" s="79" t="s">
        <v>81</v>
      </c>
      <c r="B80" s="15">
        <v>93</v>
      </c>
      <c r="C80" s="15">
        <v>132</v>
      </c>
      <c r="D80" s="15"/>
      <c r="E80" s="15">
        <v>50</v>
      </c>
      <c r="F80" s="15">
        <v>71</v>
      </c>
      <c r="G80" s="15"/>
      <c r="H80" s="15">
        <v>43</v>
      </c>
      <c r="I80" s="15">
        <v>61</v>
      </c>
      <c r="J80" s="15"/>
      <c r="K80" s="15"/>
      <c r="L80" s="15">
        <v>92885</v>
      </c>
      <c r="M80" s="15">
        <v>126057</v>
      </c>
      <c r="N80" s="15"/>
      <c r="O80" s="15">
        <v>44968</v>
      </c>
      <c r="P80" s="15">
        <v>61475</v>
      </c>
      <c r="Q80" s="15"/>
      <c r="R80" s="15">
        <v>47917</v>
      </c>
      <c r="S80" s="15">
        <v>64582</v>
      </c>
    </row>
    <row r="81" spans="1:19" ht="11.1" customHeight="1" x14ac:dyDescent="0.2">
      <c r="A81" s="80"/>
      <c r="B81" s="177"/>
      <c r="C81" s="177"/>
      <c r="D81" s="177"/>
      <c r="E81" s="177"/>
      <c r="F81" s="177"/>
      <c r="G81" s="177"/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</row>
    <row r="82" spans="1:19" ht="11.1" customHeight="1" x14ac:dyDescent="0.2">
      <c r="A82" s="78" t="s">
        <v>22</v>
      </c>
      <c r="B82" s="181">
        <v>153</v>
      </c>
      <c r="C82" s="181">
        <v>157</v>
      </c>
      <c r="D82" s="181"/>
      <c r="E82" s="181">
        <v>62</v>
      </c>
      <c r="F82" s="181">
        <v>65</v>
      </c>
      <c r="G82" s="181"/>
      <c r="H82" s="181">
        <v>91</v>
      </c>
      <c r="I82" s="181">
        <v>92</v>
      </c>
      <c r="J82" s="181"/>
      <c r="K82" s="181"/>
      <c r="L82" s="181">
        <v>148335</v>
      </c>
      <c r="M82" s="181">
        <v>86166</v>
      </c>
      <c r="N82" s="181"/>
      <c r="O82" s="181">
        <v>74002</v>
      </c>
      <c r="P82" s="181">
        <v>41426</v>
      </c>
      <c r="Q82" s="181"/>
      <c r="R82" s="181">
        <v>74333</v>
      </c>
      <c r="S82" s="181">
        <v>44740</v>
      </c>
    </row>
    <row r="83" spans="1:19" ht="11.1" customHeight="1" x14ac:dyDescent="0.2">
      <c r="A83" s="79" t="s">
        <v>82</v>
      </c>
      <c r="B83" s="15">
        <v>54</v>
      </c>
      <c r="C83" s="15">
        <v>19</v>
      </c>
      <c r="D83" s="15"/>
      <c r="E83" s="15">
        <v>23</v>
      </c>
      <c r="F83" s="15">
        <v>5</v>
      </c>
      <c r="G83" s="15"/>
      <c r="H83" s="15">
        <v>31</v>
      </c>
      <c r="I83" s="15">
        <v>14</v>
      </c>
      <c r="J83" s="15"/>
      <c r="K83" s="15"/>
      <c r="L83" s="15">
        <v>81648</v>
      </c>
      <c r="M83" s="15">
        <v>8331</v>
      </c>
      <c r="N83" s="15"/>
      <c r="O83" s="15">
        <v>41461</v>
      </c>
      <c r="P83" s="15">
        <v>3807</v>
      </c>
      <c r="Q83" s="15"/>
      <c r="R83" s="15">
        <v>40187</v>
      </c>
      <c r="S83" s="15">
        <v>4524</v>
      </c>
    </row>
    <row r="84" spans="1:19" ht="11.1" customHeight="1" x14ac:dyDescent="0.2">
      <c r="A84" s="79" t="s">
        <v>81</v>
      </c>
      <c r="B84" s="15">
        <v>99</v>
      </c>
      <c r="C84" s="15">
        <v>138</v>
      </c>
      <c r="D84" s="15"/>
      <c r="E84" s="15">
        <v>39</v>
      </c>
      <c r="F84" s="15">
        <v>60</v>
      </c>
      <c r="G84" s="15"/>
      <c r="H84" s="15">
        <v>60</v>
      </c>
      <c r="I84" s="15">
        <v>78</v>
      </c>
      <c r="J84" s="15"/>
      <c r="K84" s="15"/>
      <c r="L84" s="15">
        <v>66687</v>
      </c>
      <c r="M84" s="15">
        <v>77835</v>
      </c>
      <c r="N84" s="15"/>
      <c r="O84" s="15">
        <v>32541</v>
      </c>
      <c r="P84" s="15">
        <v>37619</v>
      </c>
      <c r="Q84" s="15"/>
      <c r="R84" s="15">
        <v>34146</v>
      </c>
      <c r="S84" s="15">
        <v>40216</v>
      </c>
    </row>
    <row r="85" spans="1:19" ht="11.1" customHeight="1" x14ac:dyDescent="0.2">
      <c r="A85" s="80"/>
      <c r="B85" s="177"/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</row>
    <row r="86" spans="1:19" ht="11.1" customHeight="1" x14ac:dyDescent="0.2">
      <c r="A86" s="78" t="s">
        <v>21</v>
      </c>
      <c r="B86" s="181">
        <v>2064</v>
      </c>
      <c r="C86" s="181">
        <v>2335</v>
      </c>
      <c r="D86" s="181"/>
      <c r="E86" s="181">
        <v>936</v>
      </c>
      <c r="F86" s="181">
        <v>1171</v>
      </c>
      <c r="G86" s="181"/>
      <c r="H86" s="181">
        <v>1128</v>
      </c>
      <c r="I86" s="181">
        <v>1164</v>
      </c>
      <c r="J86" s="181"/>
      <c r="K86" s="181"/>
      <c r="L86" s="181">
        <v>1119949</v>
      </c>
      <c r="M86" s="181">
        <v>561676</v>
      </c>
      <c r="N86" s="181"/>
      <c r="O86" s="181">
        <v>556446</v>
      </c>
      <c r="P86" s="181">
        <v>281882</v>
      </c>
      <c r="Q86" s="181"/>
      <c r="R86" s="181">
        <v>563503</v>
      </c>
      <c r="S86" s="181">
        <v>279794</v>
      </c>
    </row>
    <row r="87" spans="1:19" ht="12" customHeight="1" x14ac:dyDescent="0.2">
      <c r="A87" s="79" t="s">
        <v>82</v>
      </c>
      <c r="B87" s="15">
        <v>775</v>
      </c>
      <c r="C87" s="15">
        <v>102</v>
      </c>
      <c r="D87" s="15"/>
      <c r="E87" s="15">
        <v>348</v>
      </c>
      <c r="F87" s="15">
        <v>44</v>
      </c>
      <c r="G87" s="15"/>
      <c r="H87" s="15">
        <v>427</v>
      </c>
      <c r="I87" s="15">
        <v>58</v>
      </c>
      <c r="J87" s="15"/>
      <c r="K87" s="15"/>
      <c r="L87" s="15">
        <v>555111</v>
      </c>
      <c r="M87" s="15">
        <v>49893</v>
      </c>
      <c r="N87" s="15"/>
      <c r="O87" s="15">
        <v>280094</v>
      </c>
      <c r="P87" s="15">
        <v>25032</v>
      </c>
      <c r="Q87" s="15"/>
      <c r="R87" s="15">
        <v>275017</v>
      </c>
      <c r="S87" s="15">
        <v>24861</v>
      </c>
    </row>
    <row r="88" spans="1:19" ht="14.25" customHeight="1" x14ac:dyDescent="0.2">
      <c r="A88" s="79" t="s">
        <v>81</v>
      </c>
      <c r="B88" s="15">
        <v>1289</v>
      </c>
      <c r="C88" s="15">
        <v>2233</v>
      </c>
      <c r="D88" s="15"/>
      <c r="E88" s="15">
        <v>588</v>
      </c>
      <c r="F88" s="15">
        <v>1127</v>
      </c>
      <c r="G88" s="15"/>
      <c r="H88" s="15">
        <v>701</v>
      </c>
      <c r="I88" s="15">
        <v>1106</v>
      </c>
      <c r="J88" s="15"/>
      <c r="K88" s="15"/>
      <c r="L88" s="15">
        <v>564838</v>
      </c>
      <c r="M88" s="15">
        <v>511783</v>
      </c>
      <c r="N88" s="15"/>
      <c r="O88" s="15">
        <v>276352</v>
      </c>
      <c r="P88" s="15">
        <v>256850</v>
      </c>
      <c r="Q88" s="15"/>
      <c r="R88" s="15">
        <v>288486</v>
      </c>
      <c r="S88" s="15">
        <v>254933</v>
      </c>
    </row>
    <row r="89" spans="1:19" ht="11.1" customHeight="1" x14ac:dyDescent="0.2">
      <c r="A89" s="80"/>
      <c r="B89" s="177"/>
      <c r="C89" s="177"/>
      <c r="D89" s="177"/>
      <c r="E89" s="177"/>
      <c r="F89" s="177"/>
      <c r="G89" s="177"/>
      <c r="H89" s="177"/>
      <c r="I89" s="177"/>
      <c r="J89" s="177"/>
      <c r="K89" s="177"/>
      <c r="L89" s="177"/>
      <c r="M89" s="177"/>
      <c r="N89" s="177"/>
      <c r="O89" s="177"/>
      <c r="P89" s="177"/>
      <c r="Q89" s="177"/>
      <c r="R89" s="177"/>
      <c r="S89" s="177"/>
    </row>
    <row r="90" spans="1:19" ht="11.1" customHeight="1" x14ac:dyDescent="0.2">
      <c r="A90" s="78" t="s">
        <v>20</v>
      </c>
      <c r="B90" s="181">
        <v>10574</v>
      </c>
      <c r="C90" s="181">
        <v>9850</v>
      </c>
      <c r="D90" s="181"/>
      <c r="E90" s="181">
        <v>5769</v>
      </c>
      <c r="F90" s="181">
        <v>4209</v>
      </c>
      <c r="G90" s="181"/>
      <c r="H90" s="181">
        <v>4805</v>
      </c>
      <c r="I90" s="181">
        <v>5641</v>
      </c>
      <c r="J90" s="181"/>
      <c r="K90" s="181"/>
      <c r="L90" s="181">
        <v>104403</v>
      </c>
      <c r="M90" s="181">
        <v>66746</v>
      </c>
      <c r="N90" s="181"/>
      <c r="O90" s="181">
        <v>53977</v>
      </c>
      <c r="P90" s="181">
        <v>30897</v>
      </c>
      <c r="Q90" s="181"/>
      <c r="R90" s="181">
        <v>50426</v>
      </c>
      <c r="S90" s="181">
        <v>35849</v>
      </c>
    </row>
    <row r="91" spans="1:19" ht="11.1" customHeight="1" x14ac:dyDescent="0.2">
      <c r="A91" s="79" t="s">
        <v>82</v>
      </c>
      <c r="B91" s="15">
        <v>7626</v>
      </c>
      <c r="C91" s="15">
        <v>2459</v>
      </c>
      <c r="D91" s="15"/>
      <c r="E91" s="15">
        <v>3984</v>
      </c>
      <c r="F91" s="15">
        <v>1098</v>
      </c>
      <c r="G91" s="15"/>
      <c r="H91" s="15">
        <v>3642</v>
      </c>
      <c r="I91" s="15">
        <v>1361</v>
      </c>
      <c r="J91" s="15"/>
      <c r="K91" s="15"/>
      <c r="L91" s="15">
        <v>71335</v>
      </c>
      <c r="M91" s="15">
        <v>9752</v>
      </c>
      <c r="N91" s="15"/>
      <c r="O91" s="15">
        <v>36731</v>
      </c>
      <c r="P91" s="15">
        <v>4669</v>
      </c>
      <c r="Q91" s="15"/>
      <c r="R91" s="15">
        <v>34604</v>
      </c>
      <c r="S91" s="15">
        <v>5083</v>
      </c>
    </row>
    <row r="92" spans="1:19" ht="11.1" customHeight="1" x14ac:dyDescent="0.2">
      <c r="A92" s="79" t="s">
        <v>81</v>
      </c>
      <c r="B92" s="15">
        <v>2948</v>
      </c>
      <c r="C92" s="15">
        <v>7391</v>
      </c>
      <c r="D92" s="15"/>
      <c r="E92" s="15">
        <v>1785</v>
      </c>
      <c r="F92" s="15">
        <v>3111</v>
      </c>
      <c r="G92" s="15"/>
      <c r="H92" s="15">
        <v>1163</v>
      </c>
      <c r="I92" s="15">
        <v>4280</v>
      </c>
      <c r="J92" s="15"/>
      <c r="K92" s="15"/>
      <c r="L92" s="15">
        <v>33068</v>
      </c>
      <c r="M92" s="15">
        <v>56994</v>
      </c>
      <c r="N92" s="15"/>
      <c r="O92" s="15">
        <v>17246</v>
      </c>
      <c r="P92" s="15">
        <v>26228</v>
      </c>
      <c r="Q92" s="15"/>
      <c r="R92" s="15">
        <v>15822</v>
      </c>
      <c r="S92" s="15">
        <v>30766</v>
      </c>
    </row>
    <row r="93" spans="1:19" ht="11.1" customHeight="1" x14ac:dyDescent="0.2">
      <c r="A93" s="80"/>
      <c r="B93" s="177"/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  <c r="O93" s="177"/>
      <c r="P93" s="177"/>
      <c r="Q93" s="177"/>
      <c r="R93" s="177"/>
      <c r="S93" s="177"/>
    </row>
    <row r="94" spans="1:19" ht="11.1" customHeight="1" x14ac:dyDescent="0.2">
      <c r="A94" s="81" t="s">
        <v>19</v>
      </c>
      <c r="B94" s="181">
        <v>674</v>
      </c>
      <c r="C94" s="181">
        <v>545</v>
      </c>
      <c r="D94" s="181"/>
      <c r="E94" s="181">
        <v>338</v>
      </c>
      <c r="F94" s="181">
        <v>269</v>
      </c>
      <c r="G94" s="181"/>
      <c r="H94" s="181">
        <v>336</v>
      </c>
      <c r="I94" s="181">
        <v>276</v>
      </c>
      <c r="J94" s="181"/>
      <c r="K94" s="181"/>
      <c r="L94" s="181">
        <v>12352</v>
      </c>
      <c r="M94" s="181">
        <v>7591</v>
      </c>
      <c r="N94" s="181"/>
      <c r="O94" s="181">
        <v>6153</v>
      </c>
      <c r="P94" s="181">
        <v>3878</v>
      </c>
      <c r="Q94" s="181"/>
      <c r="R94" s="181">
        <v>6199</v>
      </c>
      <c r="S94" s="181">
        <v>3713</v>
      </c>
    </row>
    <row r="95" spans="1:19" ht="11.1" customHeight="1" x14ac:dyDescent="0.2">
      <c r="A95" s="79" t="s">
        <v>82</v>
      </c>
      <c r="B95" s="15">
        <v>453</v>
      </c>
      <c r="C95" s="15">
        <v>78</v>
      </c>
      <c r="D95" s="15"/>
      <c r="E95" s="15">
        <v>227</v>
      </c>
      <c r="F95" s="15">
        <v>34</v>
      </c>
      <c r="G95" s="15"/>
      <c r="H95" s="15">
        <v>226</v>
      </c>
      <c r="I95" s="15">
        <v>44</v>
      </c>
      <c r="J95" s="15"/>
      <c r="K95" s="15"/>
      <c r="L95" s="15">
        <v>7748</v>
      </c>
      <c r="M95" s="15">
        <v>711</v>
      </c>
      <c r="N95" s="15"/>
      <c r="O95" s="15">
        <v>3908</v>
      </c>
      <c r="P95" s="15">
        <v>365</v>
      </c>
      <c r="Q95" s="15"/>
      <c r="R95" s="15">
        <v>3840</v>
      </c>
      <c r="S95" s="15">
        <v>346</v>
      </c>
    </row>
    <row r="96" spans="1:19" ht="11.1" customHeight="1" x14ac:dyDescent="0.2">
      <c r="A96" s="79" t="s">
        <v>81</v>
      </c>
      <c r="B96" s="15">
        <v>221</v>
      </c>
      <c r="C96" s="15">
        <v>467</v>
      </c>
      <c r="D96" s="15"/>
      <c r="E96" s="15">
        <v>111</v>
      </c>
      <c r="F96" s="15">
        <v>235</v>
      </c>
      <c r="G96" s="15"/>
      <c r="H96" s="15">
        <v>110</v>
      </c>
      <c r="I96" s="15">
        <v>232</v>
      </c>
      <c r="J96" s="15"/>
      <c r="K96" s="15"/>
      <c r="L96" s="15">
        <v>4604</v>
      </c>
      <c r="M96" s="15">
        <v>6880</v>
      </c>
      <c r="N96" s="15"/>
      <c r="O96" s="15">
        <v>2245</v>
      </c>
      <c r="P96" s="15">
        <v>3513</v>
      </c>
      <c r="Q96" s="15"/>
      <c r="R96" s="15">
        <v>2359</v>
      </c>
      <c r="S96" s="15">
        <v>3367</v>
      </c>
    </row>
    <row r="97" spans="1:19" ht="11.1" customHeight="1" x14ac:dyDescent="0.25">
      <c r="A97" s="8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184"/>
      <c r="M97" s="184"/>
      <c r="N97" s="184"/>
      <c r="O97" s="30"/>
      <c r="P97" s="30"/>
      <c r="Q97" s="30"/>
      <c r="R97" s="30"/>
      <c r="S97" s="30"/>
    </row>
    <row r="98" spans="1:19" ht="11.1" customHeight="1" x14ac:dyDescent="0.2">
      <c r="A98" s="78" t="s">
        <v>12</v>
      </c>
      <c r="B98" s="181">
        <v>19</v>
      </c>
      <c r="C98" s="181">
        <v>13</v>
      </c>
      <c r="D98" s="181"/>
      <c r="E98" s="181">
        <v>8</v>
      </c>
      <c r="F98" s="181">
        <v>8</v>
      </c>
      <c r="G98" s="181"/>
      <c r="H98" s="181">
        <v>11</v>
      </c>
      <c r="I98" s="181">
        <v>5</v>
      </c>
      <c r="J98" s="181"/>
      <c r="K98" s="181"/>
      <c r="L98" s="181">
        <v>18108</v>
      </c>
      <c r="M98" s="181">
        <v>5985</v>
      </c>
      <c r="N98" s="181"/>
      <c r="O98" s="181">
        <v>9057</v>
      </c>
      <c r="P98" s="181">
        <v>3131</v>
      </c>
      <c r="Q98" s="181"/>
      <c r="R98" s="181">
        <v>9051</v>
      </c>
      <c r="S98" s="181">
        <v>2854</v>
      </c>
    </row>
    <row r="99" spans="1:19" ht="11.1" customHeight="1" x14ac:dyDescent="0.2">
      <c r="A99" s="79" t="s">
        <v>82</v>
      </c>
      <c r="B99" s="15">
        <v>10</v>
      </c>
      <c r="C99" s="15">
        <v>1</v>
      </c>
      <c r="D99" s="15"/>
      <c r="E99" s="15">
        <v>5</v>
      </c>
      <c r="F99" s="15">
        <v>0</v>
      </c>
      <c r="G99" s="15"/>
      <c r="H99" s="15">
        <v>5</v>
      </c>
      <c r="I99" s="15">
        <v>1</v>
      </c>
      <c r="J99" s="15"/>
      <c r="K99" s="15"/>
      <c r="L99" s="15">
        <v>9456</v>
      </c>
      <c r="M99" s="15">
        <v>501</v>
      </c>
      <c r="N99" s="15"/>
      <c r="O99" s="15">
        <v>4785</v>
      </c>
      <c r="P99" s="15">
        <v>247</v>
      </c>
      <c r="Q99" s="15"/>
      <c r="R99" s="15">
        <v>4671</v>
      </c>
      <c r="S99" s="15">
        <v>254</v>
      </c>
    </row>
    <row r="100" spans="1:19" ht="11.1" customHeight="1" x14ac:dyDescent="0.2">
      <c r="A100" s="79" t="s">
        <v>81</v>
      </c>
      <c r="B100" s="15">
        <v>9</v>
      </c>
      <c r="C100" s="15">
        <v>12</v>
      </c>
      <c r="D100" s="15"/>
      <c r="E100" s="15">
        <v>3</v>
      </c>
      <c r="F100" s="15">
        <v>8</v>
      </c>
      <c r="G100" s="15"/>
      <c r="H100" s="15">
        <v>6</v>
      </c>
      <c r="I100" s="15">
        <v>4</v>
      </c>
      <c r="J100" s="15"/>
      <c r="K100" s="15"/>
      <c r="L100" s="15">
        <v>8652</v>
      </c>
      <c r="M100" s="15">
        <v>5484</v>
      </c>
      <c r="N100" s="15"/>
      <c r="O100" s="15">
        <v>4272</v>
      </c>
      <c r="P100" s="15">
        <v>2884</v>
      </c>
      <c r="Q100" s="15"/>
      <c r="R100" s="15">
        <v>4380</v>
      </c>
      <c r="S100" s="15">
        <v>2600</v>
      </c>
    </row>
    <row r="101" spans="1:19" ht="11.1" customHeight="1" x14ac:dyDescent="0.2">
      <c r="A101" s="80"/>
      <c r="B101" s="177"/>
      <c r="C101" s="177"/>
      <c r="D101" s="177"/>
      <c r="E101" s="177"/>
      <c r="F101" s="177"/>
      <c r="G101" s="177"/>
      <c r="H101" s="177"/>
      <c r="I101" s="177"/>
      <c r="J101" s="177"/>
      <c r="K101" s="177"/>
      <c r="L101" s="177"/>
      <c r="M101" s="177"/>
      <c r="N101" s="177"/>
      <c r="O101" s="177"/>
      <c r="P101" s="177"/>
      <c r="Q101" s="177"/>
      <c r="R101" s="177"/>
      <c r="S101" s="177"/>
    </row>
    <row r="102" spans="1:19" ht="11.1" customHeight="1" x14ac:dyDescent="0.2">
      <c r="A102" s="78" t="s">
        <v>11</v>
      </c>
      <c r="B102" s="181">
        <v>2223</v>
      </c>
      <c r="C102" s="181">
        <v>2148</v>
      </c>
      <c r="D102" s="181"/>
      <c r="E102" s="181">
        <v>1138</v>
      </c>
      <c r="F102" s="181">
        <v>1027</v>
      </c>
      <c r="G102" s="181"/>
      <c r="H102" s="181">
        <v>1085</v>
      </c>
      <c r="I102" s="181">
        <v>1121</v>
      </c>
      <c r="J102" s="181"/>
      <c r="K102" s="181"/>
      <c r="L102" s="181">
        <v>20162</v>
      </c>
      <c r="M102" s="181">
        <v>13515</v>
      </c>
      <c r="N102" s="181"/>
      <c r="O102" s="181">
        <v>10129</v>
      </c>
      <c r="P102" s="181">
        <v>6854</v>
      </c>
      <c r="Q102" s="181"/>
      <c r="R102" s="181">
        <v>10033</v>
      </c>
      <c r="S102" s="181">
        <v>6661</v>
      </c>
    </row>
    <row r="103" spans="1:19" ht="11.1" customHeight="1" x14ac:dyDescent="0.2">
      <c r="A103" s="79" t="s">
        <v>82</v>
      </c>
      <c r="B103" s="15">
        <v>1704</v>
      </c>
      <c r="C103" s="15">
        <v>473</v>
      </c>
      <c r="D103" s="15"/>
      <c r="E103" s="15">
        <v>880</v>
      </c>
      <c r="F103" s="15">
        <v>229</v>
      </c>
      <c r="G103" s="15"/>
      <c r="H103" s="15">
        <v>824</v>
      </c>
      <c r="I103" s="15">
        <v>244</v>
      </c>
      <c r="J103" s="15"/>
      <c r="K103" s="15"/>
      <c r="L103" s="15">
        <v>12507</v>
      </c>
      <c r="M103" s="15">
        <v>1183</v>
      </c>
      <c r="N103" s="15"/>
      <c r="O103" s="15">
        <v>6365</v>
      </c>
      <c r="P103" s="15">
        <v>585</v>
      </c>
      <c r="Q103" s="15"/>
      <c r="R103" s="15">
        <v>6142</v>
      </c>
      <c r="S103" s="15">
        <v>598</v>
      </c>
    </row>
    <row r="104" spans="1:19" ht="11.1" customHeight="1" x14ac:dyDescent="0.2">
      <c r="A104" s="79" t="s">
        <v>81</v>
      </c>
      <c r="B104" s="15">
        <v>519</v>
      </c>
      <c r="C104" s="15">
        <v>1675</v>
      </c>
      <c r="D104" s="15"/>
      <c r="E104" s="15">
        <v>258</v>
      </c>
      <c r="F104" s="15">
        <v>798</v>
      </c>
      <c r="G104" s="15"/>
      <c r="H104" s="15">
        <v>261</v>
      </c>
      <c r="I104" s="15">
        <v>877</v>
      </c>
      <c r="J104" s="15"/>
      <c r="K104" s="15"/>
      <c r="L104" s="15">
        <v>7655</v>
      </c>
      <c r="M104" s="15">
        <v>12332</v>
      </c>
      <c r="N104" s="15"/>
      <c r="O104" s="15">
        <v>3764</v>
      </c>
      <c r="P104" s="15">
        <v>6269</v>
      </c>
      <c r="Q104" s="15"/>
      <c r="R104" s="15">
        <v>3891</v>
      </c>
      <c r="S104" s="15">
        <v>6063</v>
      </c>
    </row>
    <row r="105" spans="1:19" ht="11.1" customHeight="1" x14ac:dyDescent="0.2">
      <c r="A105" s="183"/>
      <c r="B105" s="177"/>
      <c r="C105" s="177"/>
      <c r="D105" s="177"/>
      <c r="E105" s="177"/>
      <c r="F105" s="177"/>
      <c r="G105" s="177"/>
      <c r="H105" s="177"/>
      <c r="I105" s="177"/>
      <c r="J105" s="177"/>
      <c r="K105" s="177"/>
      <c r="L105" s="177"/>
      <c r="M105" s="177"/>
      <c r="N105" s="177"/>
      <c r="O105" s="177"/>
      <c r="P105" s="177"/>
      <c r="Q105" s="177"/>
      <c r="R105" s="177"/>
      <c r="S105" s="177"/>
    </row>
    <row r="106" spans="1:19" ht="11.1" customHeight="1" x14ac:dyDescent="0.2">
      <c r="A106" s="78" t="s">
        <v>10</v>
      </c>
      <c r="B106" s="181">
        <v>66</v>
      </c>
      <c r="C106" s="181">
        <v>63</v>
      </c>
      <c r="D106" s="181"/>
      <c r="E106" s="181">
        <v>25</v>
      </c>
      <c r="F106" s="181">
        <v>39</v>
      </c>
      <c r="G106" s="181"/>
      <c r="H106" s="181">
        <v>41</v>
      </c>
      <c r="I106" s="181">
        <v>24</v>
      </c>
      <c r="J106" s="181"/>
      <c r="K106" s="181"/>
      <c r="L106" s="181">
        <v>225883</v>
      </c>
      <c r="M106" s="181">
        <v>142827</v>
      </c>
      <c r="N106" s="181"/>
      <c r="O106" s="181">
        <v>113724</v>
      </c>
      <c r="P106" s="181">
        <v>68742</v>
      </c>
      <c r="Q106" s="181"/>
      <c r="R106" s="181">
        <v>112159</v>
      </c>
      <c r="S106" s="181">
        <v>74085</v>
      </c>
    </row>
    <row r="107" spans="1:19" ht="11.1" customHeight="1" x14ac:dyDescent="0.2">
      <c r="A107" s="79" t="s">
        <v>82</v>
      </c>
      <c r="B107" s="15">
        <v>30</v>
      </c>
      <c r="C107" s="15">
        <v>8</v>
      </c>
      <c r="D107" s="15"/>
      <c r="E107" s="15">
        <v>11</v>
      </c>
      <c r="F107" s="15">
        <v>4</v>
      </c>
      <c r="G107" s="15"/>
      <c r="H107" s="15">
        <v>19</v>
      </c>
      <c r="I107" s="15">
        <v>4</v>
      </c>
      <c r="J107" s="15"/>
      <c r="K107" s="15"/>
      <c r="L107" s="15">
        <v>142609</v>
      </c>
      <c r="M107" s="15">
        <v>13981</v>
      </c>
      <c r="N107" s="15"/>
      <c r="O107" s="15">
        <v>72412</v>
      </c>
      <c r="P107" s="15">
        <v>6568</v>
      </c>
      <c r="Q107" s="15"/>
      <c r="R107" s="15">
        <v>70197</v>
      </c>
      <c r="S107" s="15">
        <v>7413</v>
      </c>
    </row>
    <row r="108" spans="1:19" ht="11.1" customHeight="1" x14ac:dyDescent="0.2">
      <c r="A108" s="79" t="s">
        <v>81</v>
      </c>
      <c r="B108" s="15">
        <v>36</v>
      </c>
      <c r="C108" s="15">
        <v>55</v>
      </c>
      <c r="D108" s="15"/>
      <c r="E108" s="15">
        <v>14</v>
      </c>
      <c r="F108" s="15">
        <v>35</v>
      </c>
      <c r="G108" s="15"/>
      <c r="H108" s="15">
        <v>22</v>
      </c>
      <c r="I108" s="15">
        <v>20</v>
      </c>
      <c r="J108" s="15"/>
      <c r="K108" s="15"/>
      <c r="L108" s="15">
        <v>83274</v>
      </c>
      <c r="M108" s="15">
        <v>128846</v>
      </c>
      <c r="N108" s="15"/>
      <c r="O108" s="15">
        <v>41312</v>
      </c>
      <c r="P108" s="15">
        <v>62174</v>
      </c>
      <c r="Q108" s="15"/>
      <c r="R108" s="15">
        <v>41962</v>
      </c>
      <c r="S108" s="15">
        <v>66672</v>
      </c>
    </row>
    <row r="109" spans="1:19" ht="11.1" customHeight="1" x14ac:dyDescent="0.2">
      <c r="A109" s="80"/>
      <c r="B109" s="177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</row>
    <row r="110" spans="1:19" ht="11.1" customHeight="1" x14ac:dyDescent="0.2">
      <c r="A110" s="78" t="s">
        <v>9</v>
      </c>
      <c r="B110" s="181">
        <v>24</v>
      </c>
      <c r="C110" s="181">
        <v>20</v>
      </c>
      <c r="D110" s="181"/>
      <c r="E110" s="181">
        <v>10</v>
      </c>
      <c r="F110" s="181">
        <v>14</v>
      </c>
      <c r="G110" s="181"/>
      <c r="H110" s="181">
        <v>14</v>
      </c>
      <c r="I110" s="181">
        <v>6</v>
      </c>
      <c r="J110" s="181"/>
      <c r="K110" s="181"/>
      <c r="L110" s="181">
        <v>24016</v>
      </c>
      <c r="M110" s="181">
        <v>11413</v>
      </c>
      <c r="N110" s="181"/>
      <c r="O110" s="181">
        <v>12358</v>
      </c>
      <c r="P110" s="181">
        <v>5800</v>
      </c>
      <c r="Q110" s="181"/>
      <c r="R110" s="181">
        <v>11658</v>
      </c>
      <c r="S110" s="181">
        <v>5613</v>
      </c>
    </row>
    <row r="111" spans="1:19" ht="11.1" customHeight="1" x14ac:dyDescent="0.2">
      <c r="A111" s="79" t="s">
        <v>82</v>
      </c>
      <c r="B111" s="15">
        <v>9</v>
      </c>
      <c r="C111" s="15">
        <v>1</v>
      </c>
      <c r="D111" s="15"/>
      <c r="E111" s="15">
        <v>3</v>
      </c>
      <c r="F111" s="15">
        <v>1</v>
      </c>
      <c r="G111" s="15"/>
      <c r="H111" s="15">
        <v>6</v>
      </c>
      <c r="I111" s="15">
        <v>0</v>
      </c>
      <c r="J111" s="15"/>
      <c r="K111" s="15"/>
      <c r="L111" s="15">
        <v>12681</v>
      </c>
      <c r="M111" s="15">
        <v>1339</v>
      </c>
      <c r="N111" s="15"/>
      <c r="O111" s="15">
        <v>6670</v>
      </c>
      <c r="P111" s="15">
        <v>633</v>
      </c>
      <c r="Q111" s="15"/>
      <c r="R111" s="15">
        <v>6011</v>
      </c>
      <c r="S111" s="15">
        <v>706</v>
      </c>
    </row>
    <row r="112" spans="1:19" ht="11.1" customHeight="1" x14ac:dyDescent="0.2">
      <c r="A112" s="79" t="s">
        <v>81</v>
      </c>
      <c r="B112" s="15">
        <v>15</v>
      </c>
      <c r="C112" s="15">
        <v>19</v>
      </c>
      <c r="D112" s="15"/>
      <c r="E112" s="15">
        <v>7</v>
      </c>
      <c r="F112" s="15">
        <v>13</v>
      </c>
      <c r="G112" s="15"/>
      <c r="H112" s="15">
        <v>8</v>
      </c>
      <c r="I112" s="15">
        <v>6</v>
      </c>
      <c r="J112" s="15"/>
      <c r="K112" s="15"/>
      <c r="L112" s="15">
        <v>11335</v>
      </c>
      <c r="M112" s="15">
        <v>10074</v>
      </c>
      <c r="N112" s="15"/>
      <c r="O112" s="15">
        <v>5688</v>
      </c>
      <c r="P112" s="15">
        <v>5167</v>
      </c>
      <c r="Q112" s="15"/>
      <c r="R112" s="15">
        <v>5647</v>
      </c>
      <c r="S112" s="15">
        <v>4907</v>
      </c>
    </row>
    <row r="113" spans="1:19" ht="11.1" customHeight="1" x14ac:dyDescent="0.25">
      <c r="A113" s="8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184"/>
      <c r="M113" s="184"/>
      <c r="N113" s="184"/>
      <c r="O113" s="30"/>
      <c r="P113" s="30"/>
      <c r="Q113" s="30"/>
      <c r="R113" s="30"/>
      <c r="S113" s="30"/>
    </row>
    <row r="114" spans="1:19" ht="11.1" customHeight="1" x14ac:dyDescent="0.2">
      <c r="A114" s="78" t="s">
        <v>8</v>
      </c>
      <c r="B114" s="181">
        <v>783</v>
      </c>
      <c r="C114" s="181">
        <v>944</v>
      </c>
      <c r="D114" s="181"/>
      <c r="E114" s="181">
        <v>390</v>
      </c>
      <c r="F114" s="181">
        <v>399</v>
      </c>
      <c r="G114" s="181"/>
      <c r="H114" s="181">
        <v>393</v>
      </c>
      <c r="I114" s="181">
        <v>545</v>
      </c>
      <c r="J114" s="181"/>
      <c r="K114" s="181"/>
      <c r="L114" s="181">
        <v>91998</v>
      </c>
      <c r="M114" s="181">
        <v>70323</v>
      </c>
      <c r="N114" s="181"/>
      <c r="O114" s="181">
        <v>47013</v>
      </c>
      <c r="P114" s="181">
        <v>34178</v>
      </c>
      <c r="Q114" s="181"/>
      <c r="R114" s="181">
        <v>44985</v>
      </c>
      <c r="S114" s="181">
        <v>36145</v>
      </c>
    </row>
    <row r="115" spans="1:19" ht="11.1" customHeight="1" x14ac:dyDescent="0.2">
      <c r="A115" s="79" t="s">
        <v>82</v>
      </c>
      <c r="B115" s="15">
        <v>546</v>
      </c>
      <c r="C115" s="15">
        <v>180</v>
      </c>
      <c r="D115" s="15"/>
      <c r="E115" s="15">
        <v>253</v>
      </c>
      <c r="F115" s="15">
        <v>74</v>
      </c>
      <c r="G115" s="15"/>
      <c r="H115" s="15">
        <v>293</v>
      </c>
      <c r="I115" s="15">
        <v>106</v>
      </c>
      <c r="J115" s="15"/>
      <c r="K115" s="15"/>
      <c r="L115" s="15">
        <v>61635</v>
      </c>
      <c r="M115" s="15">
        <v>8917</v>
      </c>
      <c r="N115" s="15"/>
      <c r="O115" s="15">
        <v>31573</v>
      </c>
      <c r="P115" s="15">
        <v>4403</v>
      </c>
      <c r="Q115" s="15"/>
      <c r="R115" s="15">
        <v>30062</v>
      </c>
      <c r="S115" s="15">
        <v>4514</v>
      </c>
    </row>
    <row r="116" spans="1:19" ht="11.1" customHeight="1" x14ac:dyDescent="0.2">
      <c r="A116" s="79" t="s">
        <v>81</v>
      </c>
      <c r="B116" s="15">
        <v>237</v>
      </c>
      <c r="C116" s="15">
        <v>764</v>
      </c>
      <c r="D116" s="15"/>
      <c r="E116" s="15">
        <v>137</v>
      </c>
      <c r="F116" s="15">
        <v>325</v>
      </c>
      <c r="G116" s="15"/>
      <c r="H116" s="15">
        <v>100</v>
      </c>
      <c r="I116" s="15">
        <v>439</v>
      </c>
      <c r="J116" s="15"/>
      <c r="K116" s="15"/>
      <c r="L116" s="15">
        <v>30363</v>
      </c>
      <c r="M116" s="15">
        <v>61406</v>
      </c>
      <c r="N116" s="15"/>
      <c r="O116" s="15">
        <v>15440</v>
      </c>
      <c r="P116" s="15">
        <v>29775</v>
      </c>
      <c r="Q116" s="15"/>
      <c r="R116" s="15">
        <v>14923</v>
      </c>
      <c r="S116" s="15">
        <v>31631</v>
      </c>
    </row>
    <row r="117" spans="1:19" ht="11.1" customHeight="1" x14ac:dyDescent="0.25">
      <c r="A117" s="8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184"/>
      <c r="M117" s="184"/>
      <c r="N117" s="184"/>
      <c r="O117" s="30"/>
      <c r="P117" s="30"/>
      <c r="Q117" s="30"/>
      <c r="R117" s="30"/>
      <c r="S117" s="30"/>
    </row>
    <row r="118" spans="1:19" ht="11.1" customHeight="1" x14ac:dyDescent="0.2">
      <c r="A118" s="78" t="s">
        <v>7</v>
      </c>
      <c r="B118" s="181">
        <v>30</v>
      </c>
      <c r="C118" s="181">
        <v>41</v>
      </c>
      <c r="D118" s="181"/>
      <c r="E118" s="181">
        <v>13</v>
      </c>
      <c r="F118" s="181">
        <v>21</v>
      </c>
      <c r="G118" s="181"/>
      <c r="H118" s="181">
        <v>17</v>
      </c>
      <c r="I118" s="181">
        <v>20</v>
      </c>
      <c r="J118" s="181"/>
      <c r="K118" s="181"/>
      <c r="L118" s="181">
        <v>34627</v>
      </c>
      <c r="M118" s="181">
        <v>13944</v>
      </c>
      <c r="N118" s="181"/>
      <c r="O118" s="181">
        <v>17293</v>
      </c>
      <c r="P118" s="181">
        <v>7395</v>
      </c>
      <c r="Q118" s="181"/>
      <c r="R118" s="181">
        <v>17334</v>
      </c>
      <c r="S118" s="181">
        <v>6549</v>
      </c>
    </row>
    <row r="119" spans="1:19" ht="11.1" customHeight="1" x14ac:dyDescent="0.2">
      <c r="A119" s="79" t="s">
        <v>82</v>
      </c>
      <c r="B119" s="15">
        <v>11</v>
      </c>
      <c r="C119" s="15">
        <v>1</v>
      </c>
      <c r="D119" s="15"/>
      <c r="E119" s="15">
        <v>4</v>
      </c>
      <c r="F119" s="15">
        <v>0</v>
      </c>
      <c r="G119" s="15"/>
      <c r="H119" s="15">
        <v>7</v>
      </c>
      <c r="I119" s="15">
        <v>1</v>
      </c>
      <c r="J119" s="15"/>
      <c r="K119" s="15"/>
      <c r="L119" s="15">
        <v>18178</v>
      </c>
      <c r="M119" s="15">
        <v>992</v>
      </c>
      <c r="N119" s="15"/>
      <c r="O119" s="15">
        <v>9153</v>
      </c>
      <c r="P119" s="15">
        <v>504</v>
      </c>
      <c r="Q119" s="15"/>
      <c r="R119" s="15">
        <v>9025</v>
      </c>
      <c r="S119" s="15">
        <v>488</v>
      </c>
    </row>
    <row r="120" spans="1:19" ht="11.1" customHeight="1" x14ac:dyDescent="0.2">
      <c r="A120" s="79" t="s">
        <v>81</v>
      </c>
      <c r="B120" s="15">
        <v>19</v>
      </c>
      <c r="C120" s="15">
        <v>40</v>
      </c>
      <c r="D120" s="15"/>
      <c r="E120" s="15">
        <v>9</v>
      </c>
      <c r="F120" s="15">
        <v>21</v>
      </c>
      <c r="G120" s="15"/>
      <c r="H120" s="15">
        <v>10</v>
      </c>
      <c r="I120" s="15">
        <v>19</v>
      </c>
      <c r="J120" s="15"/>
      <c r="K120" s="15"/>
      <c r="L120" s="15">
        <v>16449</v>
      </c>
      <c r="M120" s="15">
        <v>12952</v>
      </c>
      <c r="N120" s="15"/>
      <c r="O120" s="15">
        <v>8140</v>
      </c>
      <c r="P120" s="15">
        <v>6891</v>
      </c>
      <c r="Q120" s="15"/>
      <c r="R120" s="15">
        <v>8309</v>
      </c>
      <c r="S120" s="15">
        <v>6061</v>
      </c>
    </row>
    <row r="121" spans="1:19" ht="11.1" customHeight="1" x14ac:dyDescent="0.2">
      <c r="A121" s="80"/>
      <c r="B121" s="177"/>
      <c r="C121" s="177"/>
      <c r="D121" s="177"/>
      <c r="E121" s="177"/>
      <c r="F121" s="177"/>
      <c r="G121" s="177"/>
      <c r="H121" s="177"/>
      <c r="I121" s="177"/>
      <c r="J121" s="177"/>
      <c r="K121" s="177"/>
      <c r="L121" s="177"/>
      <c r="M121" s="177"/>
      <c r="N121" s="177"/>
      <c r="O121" s="177"/>
      <c r="P121" s="177"/>
      <c r="Q121" s="177"/>
      <c r="R121" s="177"/>
      <c r="S121" s="177"/>
    </row>
    <row r="122" spans="1:19" ht="11.1" customHeight="1" x14ac:dyDescent="0.2">
      <c r="A122" s="78" t="s">
        <v>6</v>
      </c>
      <c r="B122" s="181">
        <v>23</v>
      </c>
      <c r="C122" s="181">
        <v>33</v>
      </c>
      <c r="D122" s="181"/>
      <c r="E122" s="181">
        <v>16</v>
      </c>
      <c r="F122" s="181">
        <v>29</v>
      </c>
      <c r="G122" s="181"/>
      <c r="H122" s="181">
        <v>7</v>
      </c>
      <c r="I122" s="181">
        <v>4</v>
      </c>
      <c r="J122" s="181"/>
      <c r="K122" s="181"/>
      <c r="L122" s="181">
        <v>25625</v>
      </c>
      <c r="M122" s="181">
        <v>16176</v>
      </c>
      <c r="N122" s="181"/>
      <c r="O122" s="181">
        <v>12801</v>
      </c>
      <c r="P122" s="181">
        <v>7986</v>
      </c>
      <c r="Q122" s="181"/>
      <c r="R122" s="181">
        <v>12824</v>
      </c>
      <c r="S122" s="181">
        <v>8190</v>
      </c>
    </row>
    <row r="123" spans="1:19" ht="11.1" customHeight="1" x14ac:dyDescent="0.2">
      <c r="A123" s="79" t="s">
        <v>82</v>
      </c>
      <c r="B123" s="15">
        <v>7</v>
      </c>
      <c r="C123" s="15">
        <v>0</v>
      </c>
      <c r="D123" s="15"/>
      <c r="E123" s="15">
        <v>3</v>
      </c>
      <c r="F123" s="15">
        <v>0</v>
      </c>
      <c r="G123" s="15"/>
      <c r="H123" s="15">
        <v>4</v>
      </c>
      <c r="I123" s="15">
        <v>0</v>
      </c>
      <c r="J123" s="15"/>
      <c r="K123" s="15"/>
      <c r="L123" s="15">
        <v>15676</v>
      </c>
      <c r="M123" s="15">
        <v>1558</v>
      </c>
      <c r="N123" s="15"/>
      <c r="O123" s="15">
        <v>8002</v>
      </c>
      <c r="P123" s="15">
        <v>760</v>
      </c>
      <c r="Q123" s="15"/>
      <c r="R123" s="15">
        <v>7674</v>
      </c>
      <c r="S123" s="15">
        <v>798</v>
      </c>
    </row>
    <row r="124" spans="1:19" ht="11.1" customHeight="1" x14ac:dyDescent="0.2">
      <c r="A124" s="79" t="s">
        <v>81</v>
      </c>
      <c r="B124" s="15">
        <v>16</v>
      </c>
      <c r="C124" s="15">
        <v>33</v>
      </c>
      <c r="D124" s="15"/>
      <c r="E124" s="15">
        <v>13</v>
      </c>
      <c r="F124" s="15">
        <v>29</v>
      </c>
      <c r="G124" s="15"/>
      <c r="H124" s="15">
        <v>3</v>
      </c>
      <c r="I124" s="15">
        <v>4</v>
      </c>
      <c r="J124" s="15"/>
      <c r="K124" s="15"/>
      <c r="L124" s="15">
        <v>9949</v>
      </c>
      <c r="M124" s="15">
        <v>14618</v>
      </c>
      <c r="N124" s="15"/>
      <c r="O124" s="15">
        <v>4799</v>
      </c>
      <c r="P124" s="15">
        <v>7226</v>
      </c>
      <c r="Q124" s="15"/>
      <c r="R124" s="15">
        <v>5150</v>
      </c>
      <c r="S124" s="15">
        <v>7392</v>
      </c>
    </row>
    <row r="125" spans="1:19" s="43" customFormat="1" ht="3.75" customHeight="1" thickBot="1" x14ac:dyDescent="0.3">
      <c r="A125" s="83"/>
      <c r="B125" s="74"/>
      <c r="C125" s="74"/>
      <c r="D125" s="74"/>
      <c r="E125" s="74"/>
      <c r="F125" s="74"/>
      <c r="G125" s="74"/>
      <c r="H125" s="75"/>
      <c r="I125" s="75"/>
      <c r="J125" s="74"/>
      <c r="K125" s="74"/>
      <c r="L125" s="76"/>
      <c r="M125" s="76"/>
      <c r="N125" s="76"/>
      <c r="O125" s="76"/>
      <c r="P125" s="76"/>
      <c r="Q125" s="76"/>
      <c r="R125" s="76"/>
      <c r="S125" s="76"/>
    </row>
    <row r="126" spans="1:19" s="43" customFormat="1" ht="10.5" customHeight="1" x14ac:dyDescent="0.25">
      <c r="A126" s="48"/>
      <c r="B126" s="7"/>
      <c r="C126" s="7"/>
      <c r="D126" s="7"/>
      <c r="E126" s="7"/>
      <c r="F126" s="7"/>
      <c r="G126" s="7"/>
      <c r="H126" s="6"/>
      <c r="I126" s="6"/>
      <c r="J126" s="7"/>
      <c r="K126" s="7"/>
      <c r="L126" s="28"/>
      <c r="M126" s="28"/>
      <c r="N126" s="28"/>
      <c r="O126" s="28"/>
      <c r="P126" s="28"/>
      <c r="Q126" s="28"/>
      <c r="R126" s="7"/>
      <c r="S126" s="7" t="s">
        <v>83</v>
      </c>
    </row>
    <row r="127" spans="1:19" ht="12.75" customHeight="1" x14ac:dyDescent="0.2">
      <c r="A127" s="205" t="str">
        <f>A$1</f>
        <v>CUADRO Nº 2.10</v>
      </c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</row>
    <row r="128" spans="1:19" ht="20.25" customHeight="1" x14ac:dyDescent="0.2">
      <c r="A128" s="219" t="str">
        <f>A$2</f>
        <v>PERÚ: POBLACIÓN CENSADA INDÍGENA U ORIGINARIA DE LA AMAZONÍA, BLANCA(O), MESTIZA(O) Y OTRA(O) DE 12 A 24 AÑOS DE EDAD, POR SEXO Y CONDICIÓN DE ASISTENCIA A UN CENTRO DE ENSEÑANZA, SEGÚN GRUPO DE EDAD, ÁREA DE RESIDENCIA Y DEPARTAMENTO, 2017</v>
      </c>
      <c r="B128" s="219"/>
      <c r="C128" s="219"/>
      <c r="D128" s="219"/>
      <c r="E128" s="219"/>
      <c r="F128" s="219"/>
      <c r="G128" s="219"/>
      <c r="H128" s="219"/>
      <c r="I128" s="219"/>
      <c r="J128" s="219"/>
      <c r="K128" s="219"/>
      <c r="L128" s="219"/>
      <c r="M128" s="219"/>
      <c r="N128" s="219"/>
      <c r="O128" s="219"/>
      <c r="P128" s="219"/>
      <c r="Q128" s="219"/>
      <c r="R128" s="219"/>
      <c r="S128" s="219"/>
    </row>
    <row r="129" spans="1:19" ht="12.75" customHeight="1" x14ac:dyDescent="0.25">
      <c r="A129" s="215" t="str">
        <f>A$3</f>
        <v>(Cifras absolutas)</v>
      </c>
      <c r="B129" s="215"/>
      <c r="C129" s="215"/>
      <c r="D129" s="215"/>
      <c r="E129" s="215"/>
      <c r="F129" s="215"/>
      <c r="G129" s="215"/>
      <c r="H129" s="215"/>
      <c r="I129" s="215"/>
      <c r="J129" s="215"/>
      <c r="K129" s="215"/>
      <c r="L129" s="215"/>
      <c r="M129" s="215"/>
      <c r="N129" s="215"/>
      <c r="O129" s="215"/>
      <c r="P129" s="215"/>
      <c r="Q129" s="215"/>
      <c r="R129" s="215"/>
      <c r="S129" s="215"/>
    </row>
    <row r="130" spans="1:19" ht="10.5" customHeight="1" thickBot="1" x14ac:dyDescent="0.3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1" t="s">
        <v>16</v>
      </c>
    </row>
    <row r="131" spans="1:19" ht="12.75" customHeight="1" thickBot="1" x14ac:dyDescent="0.25">
      <c r="A131" s="208" t="str">
        <f>A$5</f>
        <v>Grupo de edad / Área de residencia y departamento</v>
      </c>
      <c r="B131" s="210" t="str">
        <f>B$5</f>
        <v>Indígena u originaria de la Amazonía</v>
      </c>
      <c r="C131" s="211"/>
      <c r="D131" s="211"/>
      <c r="E131" s="211"/>
      <c r="F131" s="211"/>
      <c r="G131" s="211"/>
      <c r="H131" s="211"/>
      <c r="I131" s="211"/>
      <c r="J131" s="212"/>
      <c r="K131" s="211" t="s">
        <v>116</v>
      </c>
      <c r="L131" s="211"/>
      <c r="M131" s="211"/>
      <c r="N131" s="211"/>
      <c r="O131" s="211"/>
      <c r="P131" s="211"/>
      <c r="Q131" s="211"/>
      <c r="R131" s="211"/>
      <c r="S131" s="212"/>
    </row>
    <row r="132" spans="1:19" ht="12.75" customHeight="1" thickBot="1" x14ac:dyDescent="0.25">
      <c r="A132" s="234"/>
      <c r="B132" s="230" t="str">
        <f>B$6</f>
        <v>Total</v>
      </c>
      <c r="C132" s="231"/>
      <c r="D132" s="174"/>
      <c r="E132" s="231" t="str">
        <f>E$6</f>
        <v>Hombre</v>
      </c>
      <c r="F132" s="231"/>
      <c r="G132" s="174"/>
      <c r="H132" s="231" t="str">
        <f>H$6</f>
        <v>Mujer</v>
      </c>
      <c r="I132" s="231"/>
      <c r="J132" s="175"/>
      <c r="K132" s="174"/>
      <c r="L132" s="231" t="str">
        <f>L$6</f>
        <v>Total</v>
      </c>
      <c r="M132" s="231"/>
      <c r="N132" s="174"/>
      <c r="O132" s="231" t="str">
        <f>O$6</f>
        <v>Hombre</v>
      </c>
      <c r="P132" s="231"/>
      <c r="Q132" s="174"/>
      <c r="R132" s="231" t="str">
        <f>R$6</f>
        <v>Mujer</v>
      </c>
      <c r="S132" s="232"/>
    </row>
    <row r="133" spans="1:19" ht="24" customHeight="1" thickBot="1" x14ac:dyDescent="0.25">
      <c r="A133" s="209"/>
      <c r="B133" s="176" t="str">
        <f>B$7</f>
        <v>Asiste</v>
      </c>
      <c r="C133" s="124" t="str">
        <f>C$7</f>
        <v>No asiste</v>
      </c>
      <c r="D133" s="56"/>
      <c r="E133" s="56" t="str">
        <f>E$7</f>
        <v>Asiste</v>
      </c>
      <c r="F133" s="124" t="str">
        <f>F$7</f>
        <v>No asiste</v>
      </c>
      <c r="G133" s="56"/>
      <c r="H133" s="56" t="str">
        <f>H$7</f>
        <v>Asiste</v>
      </c>
      <c r="I133" s="124" t="str">
        <f>I$7</f>
        <v>No asiste</v>
      </c>
      <c r="J133" s="111"/>
      <c r="K133" s="56"/>
      <c r="L133" s="56" t="str">
        <f>L$7</f>
        <v>Asiste</v>
      </c>
      <c r="M133" s="124" t="str">
        <f>M$7</f>
        <v>No asiste</v>
      </c>
      <c r="N133" s="124"/>
      <c r="O133" s="56" t="str">
        <f>O$7</f>
        <v>Asiste</v>
      </c>
      <c r="P133" s="124" t="str">
        <f>P$7</f>
        <v>No asiste</v>
      </c>
      <c r="Q133" s="124"/>
      <c r="R133" s="56" t="str">
        <f>R$7</f>
        <v>Asiste</v>
      </c>
      <c r="S133" s="57" t="str">
        <f>S$7</f>
        <v>No asiste</v>
      </c>
    </row>
    <row r="134" spans="1:19" ht="3.75" customHeight="1" x14ac:dyDescent="0.2">
      <c r="A134" s="186"/>
      <c r="B134" s="187"/>
      <c r="C134" s="188"/>
      <c r="D134" s="187"/>
      <c r="E134" s="187"/>
      <c r="F134" s="188"/>
      <c r="G134" s="187"/>
      <c r="H134" s="187"/>
      <c r="I134" s="188"/>
      <c r="J134" s="187"/>
      <c r="K134" s="187"/>
      <c r="L134" s="187"/>
      <c r="M134" s="188"/>
      <c r="N134" s="188"/>
      <c r="O134" s="187"/>
      <c r="P134" s="188"/>
      <c r="Q134" s="188"/>
      <c r="R134" s="187"/>
      <c r="S134" s="188"/>
    </row>
    <row r="135" spans="1:19" ht="11.1" customHeight="1" x14ac:dyDescent="0.2">
      <c r="A135" s="78" t="s">
        <v>5</v>
      </c>
      <c r="B135" s="181">
        <v>7406</v>
      </c>
      <c r="C135" s="181">
        <v>7260</v>
      </c>
      <c r="D135" s="181"/>
      <c r="E135" s="181">
        <v>3948</v>
      </c>
      <c r="F135" s="181">
        <v>3236</v>
      </c>
      <c r="G135" s="181"/>
      <c r="H135" s="181">
        <v>3458</v>
      </c>
      <c r="I135" s="181">
        <v>4024</v>
      </c>
      <c r="J135" s="181"/>
      <c r="K135" s="181"/>
      <c r="L135" s="181">
        <v>52705</v>
      </c>
      <c r="M135" s="181">
        <v>39269</v>
      </c>
      <c r="N135" s="181"/>
      <c r="O135" s="181">
        <v>26555</v>
      </c>
      <c r="P135" s="181">
        <v>18703</v>
      </c>
      <c r="Q135" s="181"/>
      <c r="R135" s="181">
        <v>26150</v>
      </c>
      <c r="S135" s="181">
        <v>20566</v>
      </c>
    </row>
    <row r="136" spans="1:19" ht="11.1" customHeight="1" x14ac:dyDescent="0.2">
      <c r="A136" s="79" t="s">
        <v>82</v>
      </c>
      <c r="B136" s="15">
        <v>5219</v>
      </c>
      <c r="C136" s="15">
        <v>1699</v>
      </c>
      <c r="D136" s="15"/>
      <c r="E136" s="15">
        <v>2732</v>
      </c>
      <c r="F136" s="15">
        <v>801</v>
      </c>
      <c r="G136" s="15"/>
      <c r="H136" s="15">
        <v>2487</v>
      </c>
      <c r="I136" s="15">
        <v>898</v>
      </c>
      <c r="J136" s="15"/>
      <c r="K136" s="15"/>
      <c r="L136" s="15">
        <v>33627</v>
      </c>
      <c r="M136" s="15">
        <v>5484</v>
      </c>
      <c r="N136" s="15"/>
      <c r="O136" s="15">
        <v>17031</v>
      </c>
      <c r="P136" s="15">
        <v>2718</v>
      </c>
      <c r="Q136" s="15"/>
      <c r="R136" s="15">
        <v>16596</v>
      </c>
      <c r="S136" s="15">
        <v>2766</v>
      </c>
    </row>
    <row r="137" spans="1:19" ht="11.1" customHeight="1" x14ac:dyDescent="0.2">
      <c r="A137" s="79" t="s">
        <v>81</v>
      </c>
      <c r="B137" s="15">
        <v>2187</v>
      </c>
      <c r="C137" s="15">
        <v>5561</v>
      </c>
      <c r="D137" s="15"/>
      <c r="E137" s="15">
        <v>1216</v>
      </c>
      <c r="F137" s="15">
        <v>2435</v>
      </c>
      <c r="G137" s="15"/>
      <c r="H137" s="15">
        <v>971</v>
      </c>
      <c r="I137" s="15">
        <v>3126</v>
      </c>
      <c r="J137" s="15"/>
      <c r="K137" s="15"/>
      <c r="L137" s="15">
        <v>19078</v>
      </c>
      <c r="M137" s="15">
        <v>33785</v>
      </c>
      <c r="N137" s="15"/>
      <c r="O137" s="15">
        <v>9524</v>
      </c>
      <c r="P137" s="15">
        <v>15985</v>
      </c>
      <c r="Q137" s="15"/>
      <c r="R137" s="15">
        <v>9554</v>
      </c>
      <c r="S137" s="15">
        <v>17800</v>
      </c>
    </row>
    <row r="138" spans="1:19" ht="11.1" customHeight="1" x14ac:dyDescent="0.2">
      <c r="A138" s="80"/>
      <c r="B138" s="177"/>
      <c r="C138" s="177"/>
      <c r="D138" s="177"/>
      <c r="E138" s="177"/>
      <c r="F138" s="177"/>
      <c r="G138" s="177"/>
      <c r="H138" s="177"/>
      <c r="I138" s="177"/>
      <c r="J138" s="177"/>
      <c r="K138" s="177"/>
      <c r="L138" s="177"/>
      <c r="M138" s="177"/>
      <c r="N138" s="177"/>
      <c r="O138" s="177"/>
      <c r="P138" s="177"/>
      <c r="Q138" s="177"/>
      <c r="R138" s="177"/>
      <c r="S138" s="177"/>
    </row>
    <row r="139" spans="1:19" ht="11.1" customHeight="1" x14ac:dyDescent="0.2">
      <c r="A139" s="113" t="s">
        <v>129</v>
      </c>
      <c r="B139" s="179">
        <v>2014</v>
      </c>
      <c r="C139" s="179">
        <v>2256</v>
      </c>
      <c r="D139" s="179"/>
      <c r="E139" s="179">
        <v>914</v>
      </c>
      <c r="F139" s="179">
        <v>1128</v>
      </c>
      <c r="G139" s="179"/>
      <c r="H139" s="179">
        <v>1100</v>
      </c>
      <c r="I139" s="179">
        <v>1128</v>
      </c>
      <c r="J139" s="179"/>
      <c r="K139" s="179"/>
      <c r="L139" s="179">
        <v>1019712</v>
      </c>
      <c r="M139" s="179">
        <v>503660</v>
      </c>
      <c r="N139" s="179"/>
      <c r="O139" s="179">
        <v>506875</v>
      </c>
      <c r="P139" s="179">
        <v>252435</v>
      </c>
      <c r="Q139" s="179"/>
      <c r="R139" s="179">
        <v>512837</v>
      </c>
      <c r="S139" s="179">
        <v>251225</v>
      </c>
    </row>
    <row r="140" spans="1:19" ht="11.1" customHeight="1" x14ac:dyDescent="0.2">
      <c r="A140" s="79" t="s">
        <v>82</v>
      </c>
      <c r="B140" s="15">
        <v>753</v>
      </c>
      <c r="C140" s="15">
        <v>98</v>
      </c>
      <c r="D140" s="15"/>
      <c r="E140" s="15">
        <v>336</v>
      </c>
      <c r="F140" s="15">
        <v>42</v>
      </c>
      <c r="G140" s="15"/>
      <c r="H140" s="15">
        <v>417</v>
      </c>
      <c r="I140" s="15">
        <v>56</v>
      </c>
      <c r="J140" s="15"/>
      <c r="K140" s="15"/>
      <c r="L140" s="15">
        <v>497438</v>
      </c>
      <c r="M140" s="15">
        <v>44506</v>
      </c>
      <c r="N140" s="15"/>
      <c r="O140" s="15">
        <v>250990</v>
      </c>
      <c r="P140" s="15">
        <v>22299</v>
      </c>
      <c r="Q140" s="15"/>
      <c r="R140" s="15">
        <v>246448</v>
      </c>
      <c r="S140" s="15">
        <v>22207</v>
      </c>
    </row>
    <row r="141" spans="1:19" ht="11.1" customHeight="1" x14ac:dyDescent="0.2">
      <c r="A141" s="79" t="s">
        <v>81</v>
      </c>
      <c r="B141" s="15">
        <v>1261</v>
      </c>
      <c r="C141" s="15">
        <v>2158</v>
      </c>
      <c r="D141" s="15"/>
      <c r="E141" s="15">
        <v>578</v>
      </c>
      <c r="F141" s="15">
        <v>1086</v>
      </c>
      <c r="G141" s="15"/>
      <c r="H141" s="15">
        <v>683</v>
      </c>
      <c r="I141" s="15">
        <v>1072</v>
      </c>
      <c r="J141" s="15"/>
      <c r="K141" s="15"/>
      <c r="L141" s="15">
        <v>522274</v>
      </c>
      <c r="M141" s="15">
        <v>459154</v>
      </c>
      <c r="N141" s="15"/>
      <c r="O141" s="15">
        <v>255885</v>
      </c>
      <c r="P141" s="15">
        <v>230136</v>
      </c>
      <c r="Q141" s="15"/>
      <c r="R141" s="15">
        <v>266389</v>
      </c>
      <c r="S141" s="15">
        <v>229018</v>
      </c>
    </row>
    <row r="142" spans="1:19" ht="11.1" customHeight="1" x14ac:dyDescent="0.2">
      <c r="A142" s="80"/>
      <c r="B142" s="177"/>
      <c r="C142" s="177"/>
      <c r="D142" s="177"/>
      <c r="E142" s="177"/>
      <c r="F142" s="177"/>
      <c r="G142" s="177"/>
      <c r="H142" s="177"/>
      <c r="I142" s="177"/>
      <c r="J142" s="177"/>
      <c r="K142" s="177"/>
      <c r="L142" s="177"/>
      <c r="M142" s="177"/>
      <c r="N142" s="177"/>
      <c r="O142" s="177"/>
      <c r="P142" s="177"/>
      <c r="Q142" s="177"/>
      <c r="R142" s="177"/>
      <c r="S142" s="177"/>
    </row>
    <row r="143" spans="1:19" ht="11.1" customHeight="1" x14ac:dyDescent="0.2">
      <c r="A143" s="121" t="s">
        <v>130</v>
      </c>
      <c r="B143" s="179">
        <v>50</v>
      </c>
      <c r="C143" s="179">
        <v>79</v>
      </c>
      <c r="D143" s="179"/>
      <c r="E143" s="179">
        <v>22</v>
      </c>
      <c r="F143" s="179">
        <v>43</v>
      </c>
      <c r="G143" s="179"/>
      <c r="H143" s="179">
        <v>28</v>
      </c>
      <c r="I143" s="179">
        <v>36</v>
      </c>
      <c r="J143" s="179"/>
      <c r="K143" s="179"/>
      <c r="L143" s="179">
        <v>100237</v>
      </c>
      <c r="M143" s="179">
        <v>58016</v>
      </c>
      <c r="N143" s="179"/>
      <c r="O143" s="179">
        <v>49571</v>
      </c>
      <c r="P143" s="179">
        <v>29447</v>
      </c>
      <c r="Q143" s="179"/>
      <c r="R143" s="179">
        <v>50666</v>
      </c>
      <c r="S143" s="189">
        <v>28569</v>
      </c>
    </row>
    <row r="144" spans="1:19" ht="11.1" customHeight="1" x14ac:dyDescent="0.2">
      <c r="A144" s="79" t="s">
        <v>82</v>
      </c>
      <c r="B144" s="15">
        <v>22</v>
      </c>
      <c r="C144" s="15">
        <v>4</v>
      </c>
      <c r="D144" s="15"/>
      <c r="E144" s="15">
        <v>12</v>
      </c>
      <c r="F144" s="15">
        <v>2</v>
      </c>
      <c r="G144" s="15"/>
      <c r="H144" s="15">
        <v>10</v>
      </c>
      <c r="I144" s="15">
        <v>2</v>
      </c>
      <c r="J144" s="15"/>
      <c r="K144" s="15"/>
      <c r="L144" s="15">
        <v>57673</v>
      </c>
      <c r="M144" s="15">
        <v>5387</v>
      </c>
      <c r="N144" s="15"/>
      <c r="O144" s="15">
        <v>29104</v>
      </c>
      <c r="P144" s="15">
        <v>2733</v>
      </c>
      <c r="Q144" s="15"/>
      <c r="R144" s="15">
        <v>28569</v>
      </c>
      <c r="S144" s="15">
        <v>2654</v>
      </c>
    </row>
    <row r="145" spans="1:19" ht="11.1" customHeight="1" x14ac:dyDescent="0.2">
      <c r="A145" s="79" t="s">
        <v>81</v>
      </c>
      <c r="B145" s="15">
        <v>28</v>
      </c>
      <c r="C145" s="15">
        <v>75</v>
      </c>
      <c r="D145" s="15"/>
      <c r="E145" s="15">
        <v>10</v>
      </c>
      <c r="F145" s="15">
        <v>41</v>
      </c>
      <c r="G145" s="15"/>
      <c r="H145" s="15">
        <v>18</v>
      </c>
      <c r="I145" s="15">
        <v>34</v>
      </c>
      <c r="J145" s="15"/>
      <c r="K145" s="15"/>
      <c r="L145" s="15">
        <v>42564</v>
      </c>
      <c r="M145" s="15">
        <v>52629</v>
      </c>
      <c r="N145" s="15"/>
      <c r="O145" s="15">
        <v>20467</v>
      </c>
      <c r="P145" s="15">
        <v>26714</v>
      </c>
      <c r="Q145" s="15"/>
      <c r="R145" s="15">
        <v>22097</v>
      </c>
      <c r="S145" s="15">
        <v>25915</v>
      </c>
    </row>
    <row r="146" spans="1:19" ht="2.25" customHeight="1" thickBot="1" x14ac:dyDescent="0.25">
      <c r="A146" s="107"/>
      <c r="B146" s="173"/>
      <c r="C146" s="173"/>
      <c r="D146" s="173"/>
      <c r="E146" s="173"/>
      <c r="F146" s="173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85"/>
    </row>
    <row r="147" spans="1:19" ht="2.25" customHeight="1" x14ac:dyDescent="0.2">
      <c r="A147" s="50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0"/>
    </row>
    <row r="148" spans="1:19" s="44" customFormat="1" ht="28.5" customHeight="1" x14ac:dyDescent="0.2">
      <c r="A148" s="218" t="s">
        <v>108</v>
      </c>
      <c r="B148" s="213"/>
      <c r="C148" s="213"/>
      <c r="D148" s="213"/>
      <c r="E148" s="213"/>
      <c r="F148" s="213"/>
      <c r="G148" s="213"/>
      <c r="H148" s="213"/>
      <c r="I148" s="213"/>
      <c r="J148" s="213"/>
      <c r="K148" s="213"/>
      <c r="L148" s="213"/>
      <c r="M148" s="213"/>
      <c r="N148" s="213"/>
      <c r="O148" s="213"/>
      <c r="P148" s="213"/>
      <c r="Q148" s="213"/>
      <c r="R148" s="213"/>
      <c r="S148" s="213"/>
    </row>
    <row r="149" spans="1:19" s="44" customFormat="1" ht="12.75" x14ac:dyDescent="0.25">
      <c r="A149" s="49" t="s">
        <v>86</v>
      </c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123"/>
      <c r="M149" s="123"/>
      <c r="N149" s="123"/>
      <c r="O149" s="123"/>
      <c r="P149" s="123"/>
      <c r="Q149" s="123"/>
      <c r="R149" s="123"/>
      <c r="S149" s="10"/>
    </row>
    <row r="150" spans="1:19" s="44" customFormat="1" ht="12.75" customHeight="1" x14ac:dyDescent="0.25">
      <c r="A150" s="49" t="s">
        <v>87</v>
      </c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2"/>
      <c r="M150" s="42"/>
      <c r="N150" s="42"/>
      <c r="O150" s="42"/>
      <c r="P150" s="42"/>
      <c r="Q150" s="42"/>
      <c r="R150" s="42"/>
      <c r="S150" s="10"/>
    </row>
    <row r="151" spans="1:19" s="44" customFormat="1" ht="25.5" customHeight="1" x14ac:dyDescent="0.25">
      <c r="A151" s="214" t="s">
        <v>118</v>
      </c>
      <c r="B151" s="213"/>
      <c r="C151" s="213"/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P151" s="213"/>
      <c r="Q151" s="213"/>
      <c r="R151" s="213"/>
      <c r="S151" s="213"/>
    </row>
  </sheetData>
  <mergeCells count="38">
    <mergeCell ref="A2:S2"/>
    <mergeCell ref="A1:S1"/>
    <mergeCell ref="A67:S67"/>
    <mergeCell ref="A70:A72"/>
    <mergeCell ref="B71:C71"/>
    <mergeCell ref="E71:F71"/>
    <mergeCell ref="H71:I71"/>
    <mergeCell ref="L71:M71"/>
    <mergeCell ref="O71:P71"/>
    <mergeCell ref="R71:S71"/>
    <mergeCell ref="A5:A7"/>
    <mergeCell ref="A3:S3"/>
    <mergeCell ref="A66:S66"/>
    <mergeCell ref="A68:S68"/>
    <mergeCell ref="B6:C6"/>
    <mergeCell ref="E6:F6"/>
    <mergeCell ref="K5:S5"/>
    <mergeCell ref="B5:J5"/>
    <mergeCell ref="K70:S70"/>
    <mergeCell ref="O132:P132"/>
    <mergeCell ref="R132:S132"/>
    <mergeCell ref="A127:S127"/>
    <mergeCell ref="A129:S129"/>
    <mergeCell ref="B131:J131"/>
    <mergeCell ref="K131:S131"/>
    <mergeCell ref="R6:S6"/>
    <mergeCell ref="O6:P6"/>
    <mergeCell ref="L6:M6"/>
    <mergeCell ref="H6:I6"/>
    <mergeCell ref="A128:S128"/>
    <mergeCell ref="A131:A133"/>
    <mergeCell ref="B132:C132"/>
    <mergeCell ref="A148:S148"/>
    <mergeCell ref="A151:S151"/>
    <mergeCell ref="B70:J70"/>
    <mergeCell ref="E132:F132"/>
    <mergeCell ref="H132:I132"/>
    <mergeCell ref="L132:M132"/>
  </mergeCells>
  <printOptions horizontalCentered="1"/>
  <pageMargins left="0.78740157480314965" right="0.78740157480314965" top="0.98425196850393704" bottom="0.98425196850393704" header="0.98425196850393704" footer="0.98425196850393704"/>
  <pageSetup paperSize="9" orientation="portrait" r:id="rId1"/>
  <rowBreaks count="1" manualBreakCount="1">
    <brk id="126" max="18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32"/>
  <sheetViews>
    <sheetView showWhiteSpace="0" view="pageBreakPreview" zoomScale="145" zoomScaleNormal="100" zoomScaleSheetLayoutView="145" workbookViewId="0">
      <selection sqref="A1:G1"/>
    </sheetView>
  </sheetViews>
  <sheetFormatPr baseColWidth="10" defaultRowHeight="12.75" x14ac:dyDescent="0.25"/>
  <cols>
    <col min="1" max="1" width="21.42578125" style="32" customWidth="1"/>
    <col min="2" max="4" width="10" style="34" customWidth="1"/>
    <col min="5" max="7" width="10" style="36" customWidth="1"/>
    <col min="8" max="16384" width="11.42578125" style="32"/>
  </cols>
  <sheetData>
    <row r="1" spans="1:7" ht="12.75" customHeight="1" x14ac:dyDescent="0.2">
      <c r="A1" s="222" t="s">
        <v>146</v>
      </c>
      <c r="B1" s="222"/>
      <c r="C1" s="222"/>
      <c r="D1" s="222"/>
      <c r="E1" s="222"/>
      <c r="F1" s="222"/>
      <c r="G1" s="222"/>
    </row>
    <row r="2" spans="1:7" ht="33" customHeight="1" x14ac:dyDescent="0.2">
      <c r="A2" s="226" t="s">
        <v>113</v>
      </c>
      <c r="B2" s="226"/>
      <c r="C2" s="226"/>
      <c r="D2" s="226"/>
      <c r="E2" s="226"/>
      <c r="F2" s="226"/>
      <c r="G2" s="226"/>
    </row>
    <row r="3" spans="1:7" ht="12.75" customHeight="1" x14ac:dyDescent="0.25">
      <c r="A3" s="236" t="s">
        <v>17</v>
      </c>
      <c r="B3" s="236"/>
      <c r="C3" s="236"/>
      <c r="D3" s="236"/>
      <c r="E3" s="236"/>
      <c r="F3" s="236"/>
      <c r="G3" s="236"/>
    </row>
    <row r="4" spans="1:7" ht="10.5" customHeight="1" thickBot="1" x14ac:dyDescent="0.3">
      <c r="A4" s="52"/>
      <c r="B4" s="52"/>
      <c r="C4" s="52"/>
      <c r="D4" s="52"/>
      <c r="E4" s="52"/>
      <c r="F4" s="52"/>
      <c r="G4" s="52"/>
    </row>
    <row r="5" spans="1:7" ht="12.75" customHeight="1" thickBot="1" x14ac:dyDescent="0.25">
      <c r="A5" s="223" t="s">
        <v>92</v>
      </c>
      <c r="B5" s="210" t="s">
        <v>117</v>
      </c>
      <c r="C5" s="211"/>
      <c r="D5" s="212"/>
      <c r="E5" s="210" t="s">
        <v>116</v>
      </c>
      <c r="F5" s="211"/>
      <c r="G5" s="212"/>
    </row>
    <row r="6" spans="1:7" ht="12.75" customHeight="1" thickBot="1" x14ac:dyDescent="0.25">
      <c r="A6" s="224"/>
      <c r="B6" s="101" t="s">
        <v>15</v>
      </c>
      <c r="C6" s="99" t="s">
        <v>37</v>
      </c>
      <c r="D6" s="100" t="s">
        <v>36</v>
      </c>
      <c r="E6" s="127" t="s">
        <v>15</v>
      </c>
      <c r="F6" s="127" t="s">
        <v>37</v>
      </c>
      <c r="G6" s="128" t="s">
        <v>36</v>
      </c>
    </row>
    <row r="7" spans="1:7" ht="3.75" customHeight="1" x14ac:dyDescent="0.25">
      <c r="A7" s="129"/>
      <c r="B7" s="149"/>
      <c r="C7" s="150"/>
      <c r="D7" s="150"/>
      <c r="E7" s="190"/>
      <c r="F7" s="190"/>
      <c r="G7" s="191"/>
    </row>
    <row r="8" spans="1:7" ht="10.5" customHeight="1" x14ac:dyDescent="0.2">
      <c r="A8" s="130" t="s">
        <v>15</v>
      </c>
      <c r="B8" s="181">
        <v>195639</v>
      </c>
      <c r="C8" s="181">
        <v>53599</v>
      </c>
      <c r="D8" s="181">
        <v>142040</v>
      </c>
      <c r="E8" s="181">
        <v>15597932</v>
      </c>
      <c r="F8" s="181">
        <v>13360203</v>
      </c>
      <c r="G8" s="181">
        <v>2237729</v>
      </c>
    </row>
    <row r="9" spans="1:7" ht="10.5" customHeight="1" x14ac:dyDescent="0.2">
      <c r="A9" s="192" t="s">
        <v>14</v>
      </c>
      <c r="B9" s="15">
        <v>96581</v>
      </c>
      <c r="C9" s="15">
        <v>25554</v>
      </c>
      <c r="D9" s="15">
        <v>71027</v>
      </c>
      <c r="E9" s="15">
        <v>7553095</v>
      </c>
      <c r="F9" s="15">
        <v>6405127</v>
      </c>
      <c r="G9" s="15">
        <v>1147968</v>
      </c>
    </row>
    <row r="10" spans="1:7" ht="10.5" customHeight="1" x14ac:dyDescent="0.2">
      <c r="A10" s="192" t="s">
        <v>13</v>
      </c>
      <c r="B10" s="15">
        <v>99058</v>
      </c>
      <c r="C10" s="15">
        <v>28045</v>
      </c>
      <c r="D10" s="15">
        <v>71013</v>
      </c>
      <c r="E10" s="15">
        <v>8044837</v>
      </c>
      <c r="F10" s="15">
        <v>6955076</v>
      </c>
      <c r="G10" s="15">
        <v>1089761</v>
      </c>
    </row>
    <row r="11" spans="1:7" s="37" customFormat="1" ht="10.5" customHeight="1" x14ac:dyDescent="0.25">
      <c r="A11" s="158"/>
      <c r="B11" s="103"/>
      <c r="C11" s="103"/>
      <c r="D11" s="103"/>
      <c r="E11" s="103"/>
      <c r="F11" s="103"/>
      <c r="G11" s="103"/>
    </row>
    <row r="12" spans="1:7" s="37" customFormat="1" ht="10.5" customHeight="1" x14ac:dyDescent="0.25">
      <c r="A12" s="130" t="s">
        <v>35</v>
      </c>
      <c r="B12" s="181">
        <v>31739</v>
      </c>
      <c r="C12" s="181">
        <v>2833</v>
      </c>
      <c r="D12" s="181">
        <v>28906</v>
      </c>
      <c r="E12" s="181">
        <v>215825</v>
      </c>
      <c r="F12" s="181">
        <v>104282</v>
      </c>
      <c r="G12" s="181">
        <v>111543</v>
      </c>
    </row>
    <row r="13" spans="1:7" s="37" customFormat="1" ht="10.5" customHeight="1" x14ac:dyDescent="0.25">
      <c r="A13" s="192" t="s">
        <v>14</v>
      </c>
      <c r="B13" s="15">
        <v>15434</v>
      </c>
      <c r="C13" s="15">
        <v>1269</v>
      </c>
      <c r="D13" s="15">
        <v>14165</v>
      </c>
      <c r="E13" s="15">
        <v>108861</v>
      </c>
      <c r="F13" s="15">
        <v>50642</v>
      </c>
      <c r="G13" s="15">
        <v>58219</v>
      </c>
    </row>
    <row r="14" spans="1:7" s="37" customFormat="1" ht="10.5" customHeight="1" x14ac:dyDescent="0.25">
      <c r="A14" s="192" t="s">
        <v>13</v>
      </c>
      <c r="B14" s="15">
        <v>16305</v>
      </c>
      <c r="C14" s="15">
        <v>1564</v>
      </c>
      <c r="D14" s="15">
        <v>14741</v>
      </c>
      <c r="E14" s="15">
        <v>106964</v>
      </c>
      <c r="F14" s="15">
        <v>53640</v>
      </c>
      <c r="G14" s="15">
        <v>53324</v>
      </c>
    </row>
    <row r="15" spans="1:7" s="37" customFormat="1" ht="10.5" customHeight="1" x14ac:dyDescent="0.25">
      <c r="A15" s="159"/>
      <c r="B15" s="103"/>
      <c r="C15" s="103"/>
      <c r="D15" s="103"/>
      <c r="E15" s="103"/>
      <c r="F15" s="103"/>
      <c r="G15" s="103"/>
    </row>
    <row r="16" spans="1:7" s="37" customFormat="1" ht="10.5" customHeight="1" x14ac:dyDescent="0.25">
      <c r="A16" s="130" t="s">
        <v>34</v>
      </c>
      <c r="B16" s="181">
        <v>208</v>
      </c>
      <c r="C16" s="181">
        <v>178</v>
      </c>
      <c r="D16" s="181">
        <v>30</v>
      </c>
      <c r="E16" s="181">
        <v>507165</v>
      </c>
      <c r="F16" s="181">
        <v>384935</v>
      </c>
      <c r="G16" s="181">
        <v>122230</v>
      </c>
    </row>
    <row r="17" spans="1:7" s="37" customFormat="1" ht="10.5" customHeight="1" x14ac:dyDescent="0.25">
      <c r="A17" s="192" t="s">
        <v>14</v>
      </c>
      <c r="B17" s="15">
        <v>112</v>
      </c>
      <c r="C17" s="15">
        <v>87</v>
      </c>
      <c r="D17" s="15">
        <v>25</v>
      </c>
      <c r="E17" s="15">
        <v>248680</v>
      </c>
      <c r="F17" s="15">
        <v>185983</v>
      </c>
      <c r="G17" s="15">
        <v>62697</v>
      </c>
    </row>
    <row r="18" spans="1:7" s="37" customFormat="1" ht="10.5" customHeight="1" x14ac:dyDescent="0.25">
      <c r="A18" s="192" t="s">
        <v>13</v>
      </c>
      <c r="B18" s="15">
        <v>96</v>
      </c>
      <c r="C18" s="15">
        <v>91</v>
      </c>
      <c r="D18" s="15">
        <v>5</v>
      </c>
      <c r="E18" s="15">
        <v>258485</v>
      </c>
      <c r="F18" s="15">
        <v>198952</v>
      </c>
      <c r="G18" s="15">
        <v>59533</v>
      </c>
    </row>
    <row r="19" spans="1:7" s="37" customFormat="1" ht="10.5" customHeight="1" x14ac:dyDescent="0.25">
      <c r="A19" s="159"/>
      <c r="B19" s="103"/>
      <c r="C19" s="103"/>
      <c r="D19" s="103"/>
      <c r="E19" s="103"/>
      <c r="F19" s="103"/>
      <c r="G19" s="103"/>
    </row>
    <row r="20" spans="1:7" s="37" customFormat="1" ht="10.5" customHeight="1" x14ac:dyDescent="0.25">
      <c r="A20" s="130" t="s">
        <v>33</v>
      </c>
      <c r="B20" s="181">
        <v>138</v>
      </c>
      <c r="C20" s="181">
        <v>95</v>
      </c>
      <c r="D20" s="181">
        <v>43</v>
      </c>
      <c r="E20" s="181">
        <v>37503</v>
      </c>
      <c r="F20" s="181">
        <v>26028</v>
      </c>
      <c r="G20" s="181">
        <v>11475</v>
      </c>
    </row>
    <row r="21" spans="1:7" s="37" customFormat="1" ht="10.5" customHeight="1" x14ac:dyDescent="0.25">
      <c r="A21" s="192" t="s">
        <v>14</v>
      </c>
      <c r="B21" s="15">
        <v>68</v>
      </c>
      <c r="C21" s="15">
        <v>51</v>
      </c>
      <c r="D21" s="15">
        <v>17</v>
      </c>
      <c r="E21" s="15">
        <v>19777</v>
      </c>
      <c r="F21" s="15">
        <v>13285</v>
      </c>
      <c r="G21" s="15">
        <v>6492</v>
      </c>
    </row>
    <row r="22" spans="1:7" s="37" customFormat="1" ht="10.5" customHeight="1" x14ac:dyDescent="0.25">
      <c r="A22" s="192" t="s">
        <v>13</v>
      </c>
      <c r="B22" s="15">
        <v>70</v>
      </c>
      <c r="C22" s="15">
        <v>44</v>
      </c>
      <c r="D22" s="15">
        <v>26</v>
      </c>
      <c r="E22" s="15">
        <v>17726</v>
      </c>
      <c r="F22" s="15">
        <v>12743</v>
      </c>
      <c r="G22" s="15">
        <v>4983</v>
      </c>
    </row>
    <row r="23" spans="1:7" s="37" customFormat="1" ht="10.5" customHeight="1" x14ac:dyDescent="0.25">
      <c r="A23" s="158"/>
      <c r="B23" s="103"/>
      <c r="C23" s="103"/>
      <c r="D23" s="103"/>
      <c r="E23" s="103"/>
      <c r="F23" s="103"/>
      <c r="G23" s="103"/>
    </row>
    <row r="24" spans="1:7" s="37" customFormat="1" ht="10.5" customHeight="1" x14ac:dyDescent="0.25">
      <c r="A24" s="130" t="s">
        <v>32</v>
      </c>
      <c r="B24" s="181">
        <v>613</v>
      </c>
      <c r="C24" s="181">
        <v>581</v>
      </c>
      <c r="D24" s="181">
        <v>32</v>
      </c>
      <c r="E24" s="181">
        <v>674328</v>
      </c>
      <c r="F24" s="181">
        <v>631019</v>
      </c>
      <c r="G24" s="181">
        <v>43309</v>
      </c>
    </row>
    <row r="25" spans="1:7" s="37" customFormat="1" ht="10.5" customHeight="1" x14ac:dyDescent="0.25">
      <c r="A25" s="192" t="s">
        <v>14</v>
      </c>
      <c r="B25" s="15">
        <v>321</v>
      </c>
      <c r="C25" s="15">
        <v>300</v>
      </c>
      <c r="D25" s="15">
        <v>21</v>
      </c>
      <c r="E25" s="15">
        <v>325398</v>
      </c>
      <c r="F25" s="15">
        <v>301318</v>
      </c>
      <c r="G25" s="15">
        <v>24080</v>
      </c>
    </row>
    <row r="26" spans="1:7" s="37" customFormat="1" ht="10.5" customHeight="1" x14ac:dyDescent="0.25">
      <c r="A26" s="192" t="s">
        <v>13</v>
      </c>
      <c r="B26" s="15">
        <v>292</v>
      </c>
      <c r="C26" s="15">
        <v>281</v>
      </c>
      <c r="D26" s="15">
        <v>11</v>
      </c>
      <c r="E26" s="15">
        <v>348930</v>
      </c>
      <c r="F26" s="15">
        <v>329701</v>
      </c>
      <c r="G26" s="15">
        <v>19229</v>
      </c>
    </row>
    <row r="27" spans="1:7" s="37" customFormat="1" ht="10.5" customHeight="1" x14ac:dyDescent="0.25">
      <c r="A27" s="159"/>
      <c r="B27" s="103"/>
      <c r="C27" s="103"/>
      <c r="D27" s="103"/>
      <c r="E27" s="103"/>
      <c r="F27" s="103"/>
      <c r="G27" s="103"/>
    </row>
    <row r="28" spans="1:7" s="37" customFormat="1" ht="10.5" customHeight="1" x14ac:dyDescent="0.25">
      <c r="A28" s="130" t="s">
        <v>31</v>
      </c>
      <c r="B28" s="181">
        <v>294</v>
      </c>
      <c r="C28" s="181">
        <v>175</v>
      </c>
      <c r="D28" s="181">
        <v>119</v>
      </c>
      <c r="E28" s="181">
        <v>79132</v>
      </c>
      <c r="F28" s="181">
        <v>55005</v>
      </c>
      <c r="G28" s="181">
        <v>24127</v>
      </c>
    </row>
    <row r="29" spans="1:7" s="37" customFormat="1" ht="10.5" customHeight="1" x14ac:dyDescent="0.25">
      <c r="A29" s="192" t="s">
        <v>14</v>
      </c>
      <c r="B29" s="15">
        <v>165</v>
      </c>
      <c r="C29" s="15">
        <v>95</v>
      </c>
      <c r="D29" s="15">
        <v>70</v>
      </c>
      <c r="E29" s="15">
        <v>41593</v>
      </c>
      <c r="F29" s="15">
        <v>27838</v>
      </c>
      <c r="G29" s="15">
        <v>13755</v>
      </c>
    </row>
    <row r="30" spans="1:7" s="37" customFormat="1" ht="10.5" customHeight="1" x14ac:dyDescent="0.25">
      <c r="A30" s="192" t="s">
        <v>13</v>
      </c>
      <c r="B30" s="15">
        <v>129</v>
      </c>
      <c r="C30" s="15">
        <v>80</v>
      </c>
      <c r="D30" s="15">
        <v>49</v>
      </c>
      <c r="E30" s="15">
        <v>37539</v>
      </c>
      <c r="F30" s="15">
        <v>27167</v>
      </c>
      <c r="G30" s="15">
        <v>10372</v>
      </c>
    </row>
    <row r="31" spans="1:7" s="37" customFormat="1" ht="10.5" customHeight="1" x14ac:dyDescent="0.25">
      <c r="A31" s="193"/>
      <c r="B31" s="7"/>
      <c r="C31" s="7"/>
      <c r="D31" s="6"/>
      <c r="E31" s="28"/>
      <c r="F31" s="28"/>
      <c r="G31" s="28"/>
    </row>
    <row r="32" spans="1:7" s="37" customFormat="1" ht="10.5" customHeight="1" x14ac:dyDescent="0.25">
      <c r="A32" s="130" t="s">
        <v>30</v>
      </c>
      <c r="B32" s="181">
        <v>1836</v>
      </c>
      <c r="C32" s="181">
        <v>534</v>
      </c>
      <c r="D32" s="181">
        <v>1302</v>
      </c>
      <c r="E32" s="181">
        <v>849346</v>
      </c>
      <c r="F32" s="181">
        <v>304668</v>
      </c>
      <c r="G32" s="181">
        <v>544678</v>
      </c>
    </row>
    <row r="33" spans="1:7" s="37" customFormat="1" ht="10.5" customHeight="1" x14ac:dyDescent="0.25">
      <c r="A33" s="192" t="s">
        <v>14</v>
      </c>
      <c r="B33" s="15">
        <v>888</v>
      </c>
      <c r="C33" s="15">
        <v>247</v>
      </c>
      <c r="D33" s="15">
        <v>641</v>
      </c>
      <c r="E33" s="15">
        <v>410039</v>
      </c>
      <c r="F33" s="15">
        <v>143344</v>
      </c>
      <c r="G33" s="15">
        <v>266695</v>
      </c>
    </row>
    <row r="34" spans="1:7" s="37" customFormat="1" ht="10.5" customHeight="1" x14ac:dyDescent="0.25">
      <c r="A34" s="192" t="s">
        <v>13</v>
      </c>
      <c r="B34" s="15">
        <v>948</v>
      </c>
      <c r="C34" s="15">
        <v>287</v>
      </c>
      <c r="D34" s="15">
        <v>661</v>
      </c>
      <c r="E34" s="15">
        <v>439307</v>
      </c>
      <c r="F34" s="15">
        <v>161324</v>
      </c>
      <c r="G34" s="15">
        <v>277983</v>
      </c>
    </row>
    <row r="35" spans="1:7" s="37" customFormat="1" ht="10.5" customHeight="1" x14ac:dyDescent="0.25">
      <c r="A35" s="159"/>
      <c r="B35" s="103"/>
      <c r="C35" s="103"/>
      <c r="D35" s="103"/>
      <c r="E35" s="103"/>
      <c r="F35" s="103"/>
      <c r="G35" s="103"/>
    </row>
    <row r="36" spans="1:7" s="37" customFormat="1" ht="10.5" customHeight="1" x14ac:dyDescent="0.25">
      <c r="A36" s="137" t="s">
        <v>29</v>
      </c>
      <c r="B36" s="181">
        <v>1469</v>
      </c>
      <c r="C36" s="181">
        <v>1469</v>
      </c>
      <c r="D36" s="181">
        <v>0</v>
      </c>
      <c r="E36" s="181">
        <v>643374</v>
      </c>
      <c r="F36" s="181">
        <v>643374</v>
      </c>
      <c r="G36" s="181">
        <v>0</v>
      </c>
    </row>
    <row r="37" spans="1:7" s="37" customFormat="1" ht="10.5" customHeight="1" x14ac:dyDescent="0.25">
      <c r="A37" s="192" t="s">
        <v>14</v>
      </c>
      <c r="B37" s="15">
        <v>670</v>
      </c>
      <c r="C37" s="15">
        <v>670</v>
      </c>
      <c r="D37" s="15">
        <v>0</v>
      </c>
      <c r="E37" s="15">
        <v>308165</v>
      </c>
      <c r="F37" s="15">
        <v>308165</v>
      </c>
      <c r="G37" s="15">
        <v>0</v>
      </c>
    </row>
    <row r="38" spans="1:7" s="37" customFormat="1" ht="10.5" customHeight="1" x14ac:dyDescent="0.25">
      <c r="A38" s="192" t="s">
        <v>13</v>
      </c>
      <c r="B38" s="15">
        <v>799</v>
      </c>
      <c r="C38" s="15">
        <v>799</v>
      </c>
      <c r="D38" s="15">
        <v>0</v>
      </c>
      <c r="E38" s="15">
        <v>335209</v>
      </c>
      <c r="F38" s="15">
        <v>335209</v>
      </c>
      <c r="G38" s="15">
        <v>0</v>
      </c>
    </row>
    <row r="39" spans="1:7" s="37" customFormat="1" ht="10.5" customHeight="1" x14ac:dyDescent="0.25">
      <c r="A39" s="159"/>
      <c r="B39" s="103"/>
      <c r="C39" s="103"/>
      <c r="D39" s="103"/>
      <c r="E39" s="103"/>
      <c r="F39" s="103"/>
      <c r="G39" s="103"/>
    </row>
    <row r="40" spans="1:7" s="37" customFormat="1" ht="10.5" customHeight="1" x14ac:dyDescent="0.25">
      <c r="A40" s="130" t="s">
        <v>28</v>
      </c>
      <c r="B40" s="181">
        <v>6371</v>
      </c>
      <c r="C40" s="181">
        <v>760</v>
      </c>
      <c r="D40" s="181">
        <v>5611</v>
      </c>
      <c r="E40" s="181">
        <v>213084</v>
      </c>
      <c r="F40" s="181">
        <v>174967</v>
      </c>
      <c r="G40" s="181">
        <v>38117</v>
      </c>
    </row>
    <row r="41" spans="1:7" s="37" customFormat="1" ht="10.5" customHeight="1" x14ac:dyDescent="0.25">
      <c r="A41" s="192" t="s">
        <v>14</v>
      </c>
      <c r="B41" s="15">
        <v>3184</v>
      </c>
      <c r="C41" s="15">
        <v>353</v>
      </c>
      <c r="D41" s="15">
        <v>2831</v>
      </c>
      <c r="E41" s="15">
        <v>107006</v>
      </c>
      <c r="F41" s="15">
        <v>85392</v>
      </c>
      <c r="G41" s="15">
        <v>21614</v>
      </c>
    </row>
    <row r="42" spans="1:7" s="37" customFormat="1" ht="10.5" customHeight="1" x14ac:dyDescent="0.25">
      <c r="A42" s="192" t="s">
        <v>13</v>
      </c>
      <c r="B42" s="15">
        <v>3187</v>
      </c>
      <c r="C42" s="15">
        <v>407</v>
      </c>
      <c r="D42" s="15">
        <v>2780</v>
      </c>
      <c r="E42" s="15">
        <v>106078</v>
      </c>
      <c r="F42" s="15">
        <v>89575</v>
      </c>
      <c r="G42" s="15">
        <v>16503</v>
      </c>
    </row>
    <row r="43" spans="1:7" s="37" customFormat="1" ht="10.5" customHeight="1" x14ac:dyDescent="0.25">
      <c r="A43" s="159"/>
      <c r="B43" s="103"/>
      <c r="C43" s="103"/>
      <c r="D43" s="103"/>
      <c r="E43" s="103"/>
      <c r="F43" s="103"/>
      <c r="G43" s="103"/>
    </row>
    <row r="44" spans="1:7" s="37" customFormat="1" ht="10.5" customHeight="1" x14ac:dyDescent="0.25">
      <c r="A44" s="130" t="s">
        <v>27</v>
      </c>
      <c r="B44" s="181">
        <v>47</v>
      </c>
      <c r="C44" s="181">
        <v>32</v>
      </c>
      <c r="D44" s="181">
        <v>15</v>
      </c>
      <c r="E44" s="181">
        <v>47341</v>
      </c>
      <c r="F44" s="181">
        <v>20995</v>
      </c>
      <c r="G44" s="181">
        <v>26346</v>
      </c>
    </row>
    <row r="45" spans="1:7" s="37" customFormat="1" ht="10.5" customHeight="1" x14ac:dyDescent="0.25">
      <c r="A45" s="192" t="s">
        <v>14</v>
      </c>
      <c r="B45" s="15">
        <v>24</v>
      </c>
      <c r="C45" s="15">
        <v>14</v>
      </c>
      <c r="D45" s="15">
        <v>10</v>
      </c>
      <c r="E45" s="15">
        <v>23929</v>
      </c>
      <c r="F45" s="15">
        <v>10378</v>
      </c>
      <c r="G45" s="15">
        <v>13551</v>
      </c>
    </row>
    <row r="46" spans="1:7" s="37" customFormat="1" ht="10.5" customHeight="1" x14ac:dyDescent="0.25">
      <c r="A46" s="192" t="s">
        <v>13</v>
      </c>
      <c r="B46" s="15">
        <v>23</v>
      </c>
      <c r="C46" s="15">
        <v>18</v>
      </c>
      <c r="D46" s="15">
        <v>5</v>
      </c>
      <c r="E46" s="15">
        <v>23412</v>
      </c>
      <c r="F46" s="15">
        <v>10617</v>
      </c>
      <c r="G46" s="15">
        <v>12795</v>
      </c>
    </row>
    <row r="47" spans="1:7" s="37" customFormat="1" ht="10.5" customHeight="1" x14ac:dyDescent="0.25">
      <c r="A47" s="159"/>
      <c r="B47" s="103"/>
      <c r="C47" s="103"/>
      <c r="D47" s="103"/>
      <c r="E47" s="103"/>
      <c r="F47" s="103"/>
      <c r="G47" s="103"/>
    </row>
    <row r="48" spans="1:7" s="37" customFormat="1" ht="10.5" customHeight="1" x14ac:dyDescent="0.25">
      <c r="A48" s="130" t="s">
        <v>26</v>
      </c>
      <c r="B48" s="181">
        <v>2064</v>
      </c>
      <c r="C48" s="181">
        <v>621</v>
      </c>
      <c r="D48" s="181">
        <v>1443</v>
      </c>
      <c r="E48" s="181">
        <v>280611</v>
      </c>
      <c r="F48" s="181">
        <v>177936</v>
      </c>
      <c r="G48" s="181">
        <v>102675</v>
      </c>
    </row>
    <row r="49" spans="1:7" s="37" customFormat="1" ht="10.5" customHeight="1" x14ac:dyDescent="0.25">
      <c r="A49" s="192" t="s">
        <v>14</v>
      </c>
      <c r="B49" s="15">
        <v>1021</v>
      </c>
      <c r="C49" s="15">
        <v>304</v>
      </c>
      <c r="D49" s="15">
        <v>717</v>
      </c>
      <c r="E49" s="15">
        <v>139281</v>
      </c>
      <c r="F49" s="15">
        <v>86359</v>
      </c>
      <c r="G49" s="15">
        <v>52922</v>
      </c>
    </row>
    <row r="50" spans="1:7" s="37" customFormat="1" ht="10.5" customHeight="1" x14ac:dyDescent="0.25">
      <c r="A50" s="192" t="s">
        <v>13</v>
      </c>
      <c r="B50" s="15">
        <v>1043</v>
      </c>
      <c r="C50" s="15">
        <v>317</v>
      </c>
      <c r="D50" s="15">
        <v>726</v>
      </c>
      <c r="E50" s="15">
        <v>141330</v>
      </c>
      <c r="F50" s="15">
        <v>91577</v>
      </c>
      <c r="G50" s="15">
        <v>49753</v>
      </c>
    </row>
    <row r="51" spans="1:7" s="37" customFormat="1" ht="10.5" customHeight="1" x14ac:dyDescent="0.25">
      <c r="A51" s="159"/>
      <c r="B51" s="103"/>
      <c r="C51" s="103"/>
      <c r="D51" s="103"/>
      <c r="E51" s="103"/>
      <c r="F51" s="103"/>
      <c r="G51" s="103"/>
    </row>
    <row r="52" spans="1:7" s="37" customFormat="1" ht="10.5" customHeight="1" x14ac:dyDescent="0.25">
      <c r="A52" s="130" t="s">
        <v>25</v>
      </c>
      <c r="B52" s="181">
        <v>808</v>
      </c>
      <c r="C52" s="181">
        <v>736</v>
      </c>
      <c r="D52" s="181">
        <v>72</v>
      </c>
      <c r="E52" s="181">
        <v>504969</v>
      </c>
      <c r="F52" s="181">
        <v>466492</v>
      </c>
      <c r="G52" s="181">
        <v>38477</v>
      </c>
    </row>
    <row r="53" spans="1:7" s="37" customFormat="1" ht="10.5" customHeight="1" x14ac:dyDescent="0.25">
      <c r="A53" s="192" t="s">
        <v>14</v>
      </c>
      <c r="B53" s="15">
        <v>435</v>
      </c>
      <c r="C53" s="15">
        <v>388</v>
      </c>
      <c r="D53" s="15">
        <v>47</v>
      </c>
      <c r="E53" s="15">
        <v>244993</v>
      </c>
      <c r="F53" s="15">
        <v>224811</v>
      </c>
      <c r="G53" s="15">
        <v>20182</v>
      </c>
    </row>
    <row r="54" spans="1:7" s="37" customFormat="1" ht="10.5" customHeight="1" x14ac:dyDescent="0.25">
      <c r="A54" s="192" t="s">
        <v>13</v>
      </c>
      <c r="B54" s="15">
        <v>373</v>
      </c>
      <c r="C54" s="15">
        <v>348</v>
      </c>
      <c r="D54" s="15">
        <v>25</v>
      </c>
      <c r="E54" s="15">
        <v>259976</v>
      </c>
      <c r="F54" s="15">
        <v>241681</v>
      </c>
      <c r="G54" s="15">
        <v>18295</v>
      </c>
    </row>
    <row r="55" spans="1:7" s="37" customFormat="1" ht="10.5" customHeight="1" x14ac:dyDescent="0.25">
      <c r="A55" s="192"/>
      <c r="B55" s="103"/>
      <c r="C55" s="103"/>
      <c r="D55" s="103"/>
      <c r="E55" s="103"/>
      <c r="F55" s="103"/>
      <c r="G55" s="103"/>
    </row>
    <row r="56" spans="1:7" s="37" customFormat="1" ht="10.5" customHeight="1" x14ac:dyDescent="0.25">
      <c r="A56" s="130" t="s">
        <v>24</v>
      </c>
      <c r="B56" s="181">
        <v>32683</v>
      </c>
      <c r="C56" s="181">
        <v>3300</v>
      </c>
      <c r="D56" s="181">
        <v>29383</v>
      </c>
      <c r="E56" s="181">
        <v>550718</v>
      </c>
      <c r="F56" s="181">
        <v>422882</v>
      </c>
      <c r="G56" s="181">
        <v>127836</v>
      </c>
    </row>
    <row r="57" spans="1:7" s="37" customFormat="1" ht="10.5" customHeight="1" x14ac:dyDescent="0.25">
      <c r="A57" s="192" t="s">
        <v>14</v>
      </c>
      <c r="B57" s="15">
        <v>16320</v>
      </c>
      <c r="C57" s="15">
        <v>1541</v>
      </c>
      <c r="D57" s="15">
        <v>14779</v>
      </c>
      <c r="E57" s="15">
        <v>265953</v>
      </c>
      <c r="F57" s="15">
        <v>200871</v>
      </c>
      <c r="G57" s="15">
        <v>65082</v>
      </c>
    </row>
    <row r="58" spans="1:7" s="37" customFormat="1" ht="10.5" customHeight="1" x14ac:dyDescent="0.25">
      <c r="A58" s="192" t="s">
        <v>13</v>
      </c>
      <c r="B58" s="15">
        <v>16363</v>
      </c>
      <c r="C58" s="15">
        <v>1759</v>
      </c>
      <c r="D58" s="15">
        <v>14604</v>
      </c>
      <c r="E58" s="15">
        <v>284765</v>
      </c>
      <c r="F58" s="15">
        <v>222011</v>
      </c>
      <c r="G58" s="15">
        <v>62754</v>
      </c>
    </row>
    <row r="59" spans="1:7" s="37" customFormat="1" ht="10.5" customHeight="1" x14ac:dyDescent="0.25">
      <c r="A59" s="133"/>
      <c r="B59" s="103"/>
      <c r="C59" s="103"/>
      <c r="D59" s="103"/>
      <c r="E59" s="103"/>
      <c r="F59" s="103"/>
      <c r="G59" s="103"/>
    </row>
    <row r="60" spans="1:7" s="37" customFormat="1" ht="10.5" customHeight="1" x14ac:dyDescent="0.25">
      <c r="A60" s="130" t="s">
        <v>23</v>
      </c>
      <c r="B60" s="181">
        <v>793</v>
      </c>
      <c r="C60" s="181">
        <v>775</v>
      </c>
      <c r="D60" s="181">
        <v>18</v>
      </c>
      <c r="E60" s="181">
        <v>1174046</v>
      </c>
      <c r="F60" s="181">
        <v>943405</v>
      </c>
      <c r="G60" s="181">
        <v>230641</v>
      </c>
    </row>
    <row r="61" spans="1:7" s="37" customFormat="1" ht="10.5" customHeight="1" x14ac:dyDescent="0.25">
      <c r="A61" s="192" t="s">
        <v>14</v>
      </c>
      <c r="B61" s="15">
        <v>414</v>
      </c>
      <c r="C61" s="15">
        <v>401</v>
      </c>
      <c r="D61" s="15">
        <v>13</v>
      </c>
      <c r="E61" s="15">
        <v>558723</v>
      </c>
      <c r="F61" s="15">
        <v>443124</v>
      </c>
      <c r="G61" s="15">
        <v>115599</v>
      </c>
    </row>
    <row r="62" spans="1:7" s="37" customFormat="1" ht="10.5" customHeight="1" x14ac:dyDescent="0.25">
      <c r="A62" s="192" t="s">
        <v>13</v>
      </c>
      <c r="B62" s="15">
        <v>379</v>
      </c>
      <c r="C62" s="15">
        <v>374</v>
      </c>
      <c r="D62" s="15">
        <v>5</v>
      </c>
      <c r="E62" s="15">
        <v>615323</v>
      </c>
      <c r="F62" s="15">
        <v>500281</v>
      </c>
      <c r="G62" s="15">
        <v>115042</v>
      </c>
    </row>
    <row r="63" spans="1:7" s="37" customFormat="1" ht="10.5" customHeight="1" x14ac:dyDescent="0.25">
      <c r="A63" s="159"/>
      <c r="B63" s="103"/>
      <c r="C63" s="103"/>
      <c r="D63" s="103"/>
      <c r="E63" s="103"/>
      <c r="F63" s="103"/>
      <c r="G63" s="103"/>
    </row>
    <row r="64" spans="1:7" s="37" customFormat="1" ht="10.5" customHeight="1" x14ac:dyDescent="0.25">
      <c r="A64" s="130" t="s">
        <v>22</v>
      </c>
      <c r="B64" s="181">
        <v>676</v>
      </c>
      <c r="C64" s="181">
        <v>661</v>
      </c>
      <c r="D64" s="181">
        <v>15</v>
      </c>
      <c r="E64" s="181">
        <v>777535</v>
      </c>
      <c r="F64" s="181">
        <v>655054</v>
      </c>
      <c r="G64" s="181">
        <v>122481</v>
      </c>
    </row>
    <row r="65" spans="1:7" s="37" customFormat="1" ht="10.5" customHeight="1" x14ac:dyDescent="0.25">
      <c r="A65" s="192" t="s">
        <v>14</v>
      </c>
      <c r="B65" s="15">
        <v>301</v>
      </c>
      <c r="C65" s="15">
        <v>294</v>
      </c>
      <c r="D65" s="15">
        <v>7</v>
      </c>
      <c r="E65" s="15">
        <v>365590</v>
      </c>
      <c r="F65" s="15">
        <v>305113</v>
      </c>
      <c r="G65" s="15">
        <v>60477</v>
      </c>
    </row>
    <row r="66" spans="1:7" s="37" customFormat="1" ht="10.5" customHeight="1" x14ac:dyDescent="0.25">
      <c r="A66" s="192" t="s">
        <v>13</v>
      </c>
      <c r="B66" s="15">
        <v>375</v>
      </c>
      <c r="C66" s="15">
        <v>367</v>
      </c>
      <c r="D66" s="15">
        <v>8</v>
      </c>
      <c r="E66" s="15">
        <v>411945</v>
      </c>
      <c r="F66" s="15">
        <v>349941</v>
      </c>
      <c r="G66" s="15">
        <v>62004</v>
      </c>
    </row>
    <row r="67" spans="1:7" s="37" customFormat="1" ht="3.75" customHeight="1" thickBot="1" x14ac:dyDescent="0.3">
      <c r="A67" s="194"/>
      <c r="B67" s="195"/>
      <c r="C67" s="195"/>
      <c r="D67" s="196"/>
      <c r="E67" s="197"/>
      <c r="F67" s="197"/>
      <c r="G67" s="197"/>
    </row>
    <row r="68" spans="1:7" s="37" customFormat="1" ht="10.5" customHeight="1" x14ac:dyDescent="0.25">
      <c r="A68" s="198"/>
      <c r="B68" s="39"/>
      <c r="C68" s="39"/>
      <c r="D68" s="38"/>
      <c r="E68" s="40"/>
      <c r="F68" s="40"/>
      <c r="G68" s="39" t="s">
        <v>83</v>
      </c>
    </row>
    <row r="69" spans="1:7" ht="12.75" customHeight="1" x14ac:dyDescent="0.2">
      <c r="A69" s="222" t="str">
        <f>A$1</f>
        <v>CUADRO Nº 2.11</v>
      </c>
      <c r="B69" s="222"/>
      <c r="C69" s="222"/>
      <c r="D69" s="222"/>
      <c r="E69" s="222"/>
      <c r="F69" s="222"/>
      <c r="G69" s="222"/>
    </row>
    <row r="70" spans="1:7" ht="20.25" customHeight="1" x14ac:dyDescent="0.2">
      <c r="A70" s="226" t="str">
        <f>A$2</f>
        <v>PERÚ: POBLACIÓN CENSADA INDÍGENA U ORIGINARIA DE LA AMAZONÍA, BLANCA(O), MESTIZA(O) Y OTRA(O) EN EDAD DE TRABAJAR DE 14 Y MÁS AÑOS DE EDAD, POR ÁREA DE RESIDENCIA, SEGÚN SEXO Y DEPARTAMENTO, 2017</v>
      </c>
      <c r="B70" s="226"/>
      <c r="C70" s="226"/>
      <c r="D70" s="226"/>
      <c r="E70" s="226"/>
      <c r="F70" s="226"/>
      <c r="G70" s="226"/>
    </row>
    <row r="71" spans="1:7" ht="12.75" customHeight="1" x14ac:dyDescent="0.25">
      <c r="A71" s="236" t="str">
        <f>A$3</f>
        <v>(Cifras absolutas)</v>
      </c>
      <c r="B71" s="236"/>
      <c r="C71" s="236"/>
      <c r="D71" s="236"/>
      <c r="E71" s="236"/>
      <c r="F71" s="236"/>
      <c r="G71" s="236"/>
    </row>
    <row r="72" spans="1:7" ht="10.5" customHeight="1" thickBot="1" x14ac:dyDescent="0.3">
      <c r="A72" s="52"/>
      <c r="B72" s="52"/>
      <c r="C72" s="52"/>
      <c r="D72" s="52"/>
      <c r="E72" s="52"/>
      <c r="F72" s="52"/>
      <c r="G72" s="38" t="s">
        <v>16</v>
      </c>
    </row>
    <row r="73" spans="1:7" ht="12.75" customHeight="1" thickBot="1" x14ac:dyDescent="0.25">
      <c r="A73" s="223" t="str">
        <f>A$5</f>
        <v>Sexo / Departamento</v>
      </c>
      <c r="B73" s="210" t="str">
        <f>B$5</f>
        <v>Indígena u originaria de la Amazonía</v>
      </c>
      <c r="C73" s="211"/>
      <c r="D73" s="212"/>
      <c r="E73" s="210" t="s">
        <v>116</v>
      </c>
      <c r="F73" s="211"/>
      <c r="G73" s="212"/>
    </row>
    <row r="74" spans="1:7" ht="12.75" customHeight="1" thickBot="1" x14ac:dyDescent="0.25">
      <c r="A74" s="224"/>
      <c r="B74" s="101" t="str">
        <f>B$6</f>
        <v>Total</v>
      </c>
      <c r="C74" s="99" t="str">
        <f t="shared" ref="C74:G74" si="0">C$6</f>
        <v>Área Urbana</v>
      </c>
      <c r="D74" s="100" t="str">
        <f t="shared" si="0"/>
        <v>Área Rural</v>
      </c>
      <c r="E74" s="127" t="str">
        <f t="shared" si="0"/>
        <v>Total</v>
      </c>
      <c r="F74" s="127" t="str">
        <f t="shared" si="0"/>
        <v>Área Urbana</v>
      </c>
      <c r="G74" s="128" t="str">
        <f t="shared" si="0"/>
        <v>Área Rural</v>
      </c>
    </row>
    <row r="75" spans="1:7" ht="3.75" customHeight="1" x14ac:dyDescent="0.25">
      <c r="A75" s="129"/>
      <c r="B75" s="149"/>
      <c r="C75" s="150"/>
      <c r="D75" s="150"/>
      <c r="E75" s="190"/>
      <c r="F75" s="190"/>
      <c r="G75" s="191"/>
    </row>
    <row r="76" spans="1:7" s="37" customFormat="1" ht="10.5" customHeight="1" x14ac:dyDescent="0.25">
      <c r="A76" s="130" t="s">
        <v>21</v>
      </c>
      <c r="B76" s="181">
        <v>15159</v>
      </c>
      <c r="C76" s="181">
        <v>15106</v>
      </c>
      <c r="D76" s="181">
        <v>53</v>
      </c>
      <c r="E76" s="181">
        <v>5963782</v>
      </c>
      <c r="F76" s="181">
        <v>5866487</v>
      </c>
      <c r="G76" s="181">
        <v>97295</v>
      </c>
    </row>
    <row r="77" spans="1:7" s="37" customFormat="1" ht="10.5" customHeight="1" x14ac:dyDescent="0.25">
      <c r="A77" s="192" t="s">
        <v>14</v>
      </c>
      <c r="B77" s="15">
        <v>7171</v>
      </c>
      <c r="C77" s="15">
        <v>7135</v>
      </c>
      <c r="D77" s="15">
        <v>36</v>
      </c>
      <c r="E77" s="15">
        <v>2859159</v>
      </c>
      <c r="F77" s="15">
        <v>2807336</v>
      </c>
      <c r="G77" s="15">
        <v>51823</v>
      </c>
    </row>
    <row r="78" spans="1:7" s="37" customFormat="1" ht="10.5" customHeight="1" x14ac:dyDescent="0.25">
      <c r="A78" s="192" t="s">
        <v>13</v>
      </c>
      <c r="B78" s="15">
        <v>7988</v>
      </c>
      <c r="C78" s="15">
        <v>7971</v>
      </c>
      <c r="D78" s="15">
        <v>17</v>
      </c>
      <c r="E78" s="15">
        <v>3104623</v>
      </c>
      <c r="F78" s="15">
        <v>3059151</v>
      </c>
      <c r="G78" s="15">
        <v>45472</v>
      </c>
    </row>
    <row r="79" spans="1:7" s="37" customFormat="1" ht="10.5" customHeight="1" x14ac:dyDescent="0.25">
      <c r="A79" s="159"/>
      <c r="B79" s="103"/>
      <c r="C79" s="103"/>
      <c r="D79" s="103"/>
      <c r="E79" s="103"/>
      <c r="F79" s="103"/>
      <c r="G79" s="103"/>
    </row>
    <row r="80" spans="1:7" s="37" customFormat="1" ht="10.5" customHeight="1" x14ac:dyDescent="0.25">
      <c r="A80" s="130" t="s">
        <v>20</v>
      </c>
      <c r="B80" s="181">
        <v>47134</v>
      </c>
      <c r="C80" s="181">
        <v>8605</v>
      </c>
      <c r="D80" s="181">
        <v>38529</v>
      </c>
      <c r="E80" s="181">
        <v>498774</v>
      </c>
      <c r="F80" s="181">
        <v>390885</v>
      </c>
      <c r="G80" s="181">
        <v>107889</v>
      </c>
    </row>
    <row r="81" spans="1:7" s="37" customFormat="1" ht="10.5" customHeight="1" x14ac:dyDescent="0.25">
      <c r="A81" s="192" t="s">
        <v>14</v>
      </c>
      <c r="B81" s="15">
        <v>23685</v>
      </c>
      <c r="C81" s="15">
        <v>4453</v>
      </c>
      <c r="D81" s="15">
        <v>19232</v>
      </c>
      <c r="E81" s="15">
        <v>248172</v>
      </c>
      <c r="F81" s="15">
        <v>190093</v>
      </c>
      <c r="G81" s="15">
        <v>58079</v>
      </c>
    </row>
    <row r="82" spans="1:7" s="37" customFormat="1" ht="10.5" customHeight="1" x14ac:dyDescent="0.25">
      <c r="A82" s="192" t="s">
        <v>13</v>
      </c>
      <c r="B82" s="15">
        <v>23449</v>
      </c>
      <c r="C82" s="15">
        <v>4152</v>
      </c>
      <c r="D82" s="15">
        <v>19297</v>
      </c>
      <c r="E82" s="15">
        <v>250602</v>
      </c>
      <c r="F82" s="15">
        <v>200792</v>
      </c>
      <c r="G82" s="15">
        <v>49810</v>
      </c>
    </row>
    <row r="83" spans="1:7" s="37" customFormat="1" ht="10.5" customHeight="1" x14ac:dyDescent="0.25">
      <c r="A83" s="159"/>
      <c r="B83" s="103"/>
      <c r="C83" s="103"/>
      <c r="D83" s="103"/>
      <c r="E83" s="103"/>
      <c r="F83" s="103"/>
      <c r="G83" s="103"/>
    </row>
    <row r="84" spans="1:7" s="37" customFormat="1" ht="10.5" customHeight="1" x14ac:dyDescent="0.25">
      <c r="A84" s="137" t="s">
        <v>19</v>
      </c>
      <c r="B84" s="181">
        <v>3244</v>
      </c>
      <c r="C84" s="181">
        <v>1366</v>
      </c>
      <c r="D84" s="181">
        <v>1878</v>
      </c>
      <c r="E84" s="181">
        <v>56567</v>
      </c>
      <c r="F84" s="181">
        <v>47867</v>
      </c>
      <c r="G84" s="181">
        <v>8700</v>
      </c>
    </row>
    <row r="85" spans="1:7" s="37" customFormat="1" ht="10.5" customHeight="1" x14ac:dyDescent="0.25">
      <c r="A85" s="192" t="s">
        <v>14</v>
      </c>
      <c r="B85" s="15">
        <v>1644</v>
      </c>
      <c r="C85" s="15">
        <v>653</v>
      </c>
      <c r="D85" s="15">
        <v>991</v>
      </c>
      <c r="E85" s="15">
        <v>29684</v>
      </c>
      <c r="F85" s="15">
        <v>24552</v>
      </c>
      <c r="G85" s="15">
        <v>5132</v>
      </c>
    </row>
    <row r="86" spans="1:7" s="37" customFormat="1" ht="10.5" customHeight="1" x14ac:dyDescent="0.25">
      <c r="A86" s="192" t="s">
        <v>13</v>
      </c>
      <c r="B86" s="15">
        <v>1600</v>
      </c>
      <c r="C86" s="15">
        <v>713</v>
      </c>
      <c r="D86" s="15">
        <v>887</v>
      </c>
      <c r="E86" s="15">
        <v>26883</v>
      </c>
      <c r="F86" s="15">
        <v>23315</v>
      </c>
      <c r="G86" s="15">
        <v>3568</v>
      </c>
    </row>
    <row r="87" spans="1:7" s="37" customFormat="1" ht="10.5" customHeight="1" x14ac:dyDescent="0.25">
      <c r="A87" s="133"/>
      <c r="B87" s="103"/>
      <c r="C87" s="103"/>
      <c r="D87" s="103"/>
      <c r="E87" s="103"/>
      <c r="F87" s="103"/>
      <c r="G87" s="103"/>
    </row>
    <row r="88" spans="1:7" s="37" customFormat="1" ht="10.5" customHeight="1" x14ac:dyDescent="0.25">
      <c r="A88" s="130" t="s">
        <v>12</v>
      </c>
      <c r="B88" s="181">
        <v>123</v>
      </c>
      <c r="C88" s="181">
        <v>114</v>
      </c>
      <c r="D88" s="181">
        <v>9</v>
      </c>
      <c r="E88" s="181">
        <v>82188</v>
      </c>
      <c r="F88" s="181">
        <v>74759</v>
      </c>
      <c r="G88" s="181">
        <v>7429</v>
      </c>
    </row>
    <row r="89" spans="1:7" s="37" customFormat="1" ht="10.5" customHeight="1" x14ac:dyDescent="0.25">
      <c r="A89" s="192" t="s">
        <v>14</v>
      </c>
      <c r="B89" s="15">
        <v>58</v>
      </c>
      <c r="C89" s="15">
        <v>53</v>
      </c>
      <c r="D89" s="15">
        <v>5</v>
      </c>
      <c r="E89" s="15">
        <v>41154</v>
      </c>
      <c r="F89" s="15">
        <v>36840</v>
      </c>
      <c r="G89" s="15">
        <v>4314</v>
      </c>
    </row>
    <row r="90" spans="1:7" s="37" customFormat="1" ht="10.5" customHeight="1" x14ac:dyDescent="0.25">
      <c r="A90" s="192" t="s">
        <v>13</v>
      </c>
      <c r="B90" s="15">
        <v>65</v>
      </c>
      <c r="C90" s="15">
        <v>61</v>
      </c>
      <c r="D90" s="15">
        <v>4</v>
      </c>
      <c r="E90" s="15">
        <v>41034</v>
      </c>
      <c r="F90" s="15">
        <v>37919</v>
      </c>
      <c r="G90" s="15">
        <v>3115</v>
      </c>
    </row>
    <row r="91" spans="1:7" s="37" customFormat="1" ht="10.5" customHeight="1" x14ac:dyDescent="0.25">
      <c r="A91" s="159"/>
      <c r="B91" s="103"/>
      <c r="C91" s="103"/>
      <c r="D91" s="103"/>
      <c r="E91" s="103"/>
      <c r="F91" s="103"/>
      <c r="G91" s="103"/>
    </row>
    <row r="92" spans="1:7" s="37" customFormat="1" ht="10.5" customHeight="1" x14ac:dyDescent="0.25">
      <c r="A92" s="130" t="s">
        <v>11</v>
      </c>
      <c r="B92" s="181">
        <v>11246</v>
      </c>
      <c r="C92" s="181">
        <v>1714</v>
      </c>
      <c r="D92" s="181">
        <v>9532</v>
      </c>
      <c r="E92" s="181">
        <v>101948</v>
      </c>
      <c r="F92" s="181">
        <v>72295</v>
      </c>
      <c r="G92" s="181">
        <v>29653</v>
      </c>
    </row>
    <row r="93" spans="1:7" s="37" customFormat="1" ht="10.5" customHeight="1" x14ac:dyDescent="0.25">
      <c r="A93" s="192" t="s">
        <v>14</v>
      </c>
      <c r="B93" s="15">
        <v>5566</v>
      </c>
      <c r="C93" s="15">
        <v>697</v>
      </c>
      <c r="D93" s="15">
        <v>4869</v>
      </c>
      <c r="E93" s="15">
        <v>52070</v>
      </c>
      <c r="F93" s="15">
        <v>36028</v>
      </c>
      <c r="G93" s="15">
        <v>16042</v>
      </c>
    </row>
    <row r="94" spans="1:7" s="37" customFormat="1" ht="10.5" customHeight="1" x14ac:dyDescent="0.25">
      <c r="A94" s="192" t="s">
        <v>13</v>
      </c>
      <c r="B94" s="15">
        <v>5680</v>
      </c>
      <c r="C94" s="15">
        <v>1017</v>
      </c>
      <c r="D94" s="15">
        <v>4663</v>
      </c>
      <c r="E94" s="15">
        <v>49878</v>
      </c>
      <c r="F94" s="15">
        <v>36267</v>
      </c>
      <c r="G94" s="15">
        <v>13611</v>
      </c>
    </row>
    <row r="95" spans="1:7" s="37" customFormat="1" ht="10.5" customHeight="1" x14ac:dyDescent="0.25">
      <c r="A95" s="159"/>
      <c r="B95" s="7"/>
      <c r="C95" s="7"/>
      <c r="D95" s="6"/>
      <c r="E95" s="28"/>
      <c r="F95" s="28"/>
      <c r="G95" s="28"/>
    </row>
    <row r="96" spans="1:7" s="37" customFormat="1" ht="10.5" customHeight="1" x14ac:dyDescent="0.25">
      <c r="A96" s="130" t="s">
        <v>10</v>
      </c>
      <c r="B96" s="181">
        <v>413</v>
      </c>
      <c r="C96" s="181">
        <v>396</v>
      </c>
      <c r="D96" s="181">
        <v>17</v>
      </c>
      <c r="E96" s="181">
        <v>1184401</v>
      </c>
      <c r="F96" s="181">
        <v>954684</v>
      </c>
      <c r="G96" s="181">
        <v>229717</v>
      </c>
    </row>
    <row r="97" spans="1:7" s="37" customFormat="1" ht="10.5" customHeight="1" x14ac:dyDescent="0.25">
      <c r="A97" s="192" t="s">
        <v>14</v>
      </c>
      <c r="B97" s="15">
        <v>212</v>
      </c>
      <c r="C97" s="15">
        <v>204</v>
      </c>
      <c r="D97" s="15">
        <v>8</v>
      </c>
      <c r="E97" s="15">
        <v>572722</v>
      </c>
      <c r="F97" s="15">
        <v>457162</v>
      </c>
      <c r="G97" s="15">
        <v>115560</v>
      </c>
    </row>
    <row r="98" spans="1:7" s="37" customFormat="1" ht="10.5" customHeight="1" x14ac:dyDescent="0.25">
      <c r="A98" s="192" t="s">
        <v>13</v>
      </c>
      <c r="B98" s="15">
        <v>201</v>
      </c>
      <c r="C98" s="15">
        <v>192</v>
      </c>
      <c r="D98" s="15">
        <v>9</v>
      </c>
      <c r="E98" s="15">
        <v>611679</v>
      </c>
      <c r="F98" s="15">
        <v>497522</v>
      </c>
      <c r="G98" s="15">
        <v>114157</v>
      </c>
    </row>
    <row r="99" spans="1:7" s="37" customFormat="1" ht="10.5" customHeight="1" x14ac:dyDescent="0.25">
      <c r="A99" s="159"/>
      <c r="B99" s="103"/>
      <c r="C99" s="103"/>
      <c r="D99" s="103"/>
      <c r="E99" s="103"/>
      <c r="F99" s="103"/>
      <c r="G99" s="103"/>
    </row>
    <row r="100" spans="1:7" s="37" customFormat="1" ht="10.5" customHeight="1" x14ac:dyDescent="0.25">
      <c r="A100" s="130" t="s">
        <v>9</v>
      </c>
      <c r="B100" s="181">
        <v>157</v>
      </c>
      <c r="C100" s="181">
        <v>119</v>
      </c>
      <c r="D100" s="181">
        <v>38</v>
      </c>
      <c r="E100" s="181">
        <v>80540</v>
      </c>
      <c r="F100" s="181">
        <v>68588</v>
      </c>
      <c r="G100" s="181">
        <v>11952</v>
      </c>
    </row>
    <row r="101" spans="1:7" s="37" customFormat="1" ht="10.5" customHeight="1" x14ac:dyDescent="0.25">
      <c r="A101" s="192" t="s">
        <v>14</v>
      </c>
      <c r="B101" s="15">
        <v>95</v>
      </c>
      <c r="C101" s="15">
        <v>67</v>
      </c>
      <c r="D101" s="15">
        <v>28</v>
      </c>
      <c r="E101" s="15">
        <v>42209</v>
      </c>
      <c r="F101" s="15">
        <v>35615</v>
      </c>
      <c r="G101" s="15">
        <v>6594</v>
      </c>
    </row>
    <row r="102" spans="1:7" s="37" customFormat="1" ht="10.5" customHeight="1" x14ac:dyDescent="0.25">
      <c r="A102" s="192" t="s">
        <v>13</v>
      </c>
      <c r="B102" s="15">
        <v>62</v>
      </c>
      <c r="C102" s="15">
        <v>52</v>
      </c>
      <c r="D102" s="15">
        <v>10</v>
      </c>
      <c r="E102" s="15">
        <v>38331</v>
      </c>
      <c r="F102" s="15">
        <v>32973</v>
      </c>
      <c r="G102" s="15">
        <v>5358</v>
      </c>
    </row>
    <row r="103" spans="1:7" s="37" customFormat="1" ht="10.5" customHeight="1" x14ac:dyDescent="0.25">
      <c r="A103" s="159"/>
      <c r="B103" s="103"/>
      <c r="C103" s="103"/>
      <c r="D103" s="103"/>
      <c r="E103" s="103"/>
      <c r="F103" s="103"/>
      <c r="G103" s="103"/>
    </row>
    <row r="104" spans="1:7" s="37" customFormat="1" ht="10.5" customHeight="1" x14ac:dyDescent="0.25">
      <c r="A104" s="130" t="s">
        <v>8</v>
      </c>
      <c r="B104" s="181">
        <v>4452</v>
      </c>
      <c r="C104" s="181">
        <v>1814</v>
      </c>
      <c r="D104" s="181">
        <v>2638</v>
      </c>
      <c r="E104" s="181">
        <v>510087</v>
      </c>
      <c r="F104" s="181">
        <v>361221</v>
      </c>
      <c r="G104" s="181">
        <v>148866</v>
      </c>
    </row>
    <row r="105" spans="1:7" s="37" customFormat="1" ht="10.5" customHeight="1" x14ac:dyDescent="0.25">
      <c r="A105" s="192" t="s">
        <v>14</v>
      </c>
      <c r="B105" s="15">
        <v>2218</v>
      </c>
      <c r="C105" s="15">
        <v>910</v>
      </c>
      <c r="D105" s="15">
        <v>1308</v>
      </c>
      <c r="E105" s="15">
        <v>259042</v>
      </c>
      <c r="F105" s="15">
        <v>179478</v>
      </c>
      <c r="G105" s="15">
        <v>79564</v>
      </c>
    </row>
    <row r="106" spans="1:7" s="37" customFormat="1" ht="10.5" customHeight="1" x14ac:dyDescent="0.25">
      <c r="A106" s="192" t="s">
        <v>13</v>
      </c>
      <c r="B106" s="15">
        <v>2234</v>
      </c>
      <c r="C106" s="15">
        <v>904</v>
      </c>
      <c r="D106" s="15">
        <v>1330</v>
      </c>
      <c r="E106" s="15">
        <v>251045</v>
      </c>
      <c r="F106" s="15">
        <v>181743</v>
      </c>
      <c r="G106" s="15">
        <v>69302</v>
      </c>
    </row>
    <row r="107" spans="1:7" s="37" customFormat="1" ht="10.5" customHeight="1" x14ac:dyDescent="0.25">
      <c r="A107" s="159"/>
      <c r="B107" s="103"/>
      <c r="C107" s="103"/>
      <c r="D107" s="103"/>
      <c r="E107" s="103"/>
      <c r="F107" s="103"/>
      <c r="G107" s="103"/>
    </row>
    <row r="108" spans="1:7" s="37" customFormat="1" ht="10.5" customHeight="1" x14ac:dyDescent="0.25">
      <c r="A108" s="130" t="s">
        <v>7</v>
      </c>
      <c r="B108" s="181">
        <v>244</v>
      </c>
      <c r="C108" s="181">
        <v>222</v>
      </c>
      <c r="D108" s="181">
        <v>22</v>
      </c>
      <c r="E108" s="181">
        <v>148004</v>
      </c>
      <c r="F108" s="181">
        <v>134854</v>
      </c>
      <c r="G108" s="181">
        <v>13150</v>
      </c>
    </row>
    <row r="109" spans="1:7" s="37" customFormat="1" ht="10.5" customHeight="1" x14ac:dyDescent="0.25">
      <c r="A109" s="192" t="s">
        <v>14</v>
      </c>
      <c r="B109" s="15">
        <v>130</v>
      </c>
      <c r="C109" s="15">
        <v>115</v>
      </c>
      <c r="D109" s="15">
        <v>15</v>
      </c>
      <c r="E109" s="15">
        <v>73240</v>
      </c>
      <c r="F109" s="15">
        <v>65874</v>
      </c>
      <c r="G109" s="15">
        <v>7366</v>
      </c>
    </row>
    <row r="110" spans="1:7" s="37" customFormat="1" ht="10.5" customHeight="1" x14ac:dyDescent="0.25">
      <c r="A110" s="192" t="s">
        <v>13</v>
      </c>
      <c r="B110" s="15">
        <v>114</v>
      </c>
      <c r="C110" s="15">
        <v>107</v>
      </c>
      <c r="D110" s="15">
        <v>7</v>
      </c>
      <c r="E110" s="15">
        <v>74764</v>
      </c>
      <c r="F110" s="15">
        <v>68980</v>
      </c>
      <c r="G110" s="15">
        <v>5784</v>
      </c>
    </row>
    <row r="111" spans="1:7" s="37" customFormat="1" ht="10.5" customHeight="1" x14ac:dyDescent="0.25">
      <c r="A111" s="133"/>
      <c r="B111" s="103"/>
      <c r="C111" s="103"/>
      <c r="D111" s="103"/>
      <c r="E111" s="103"/>
      <c r="F111" s="103"/>
      <c r="G111" s="103"/>
    </row>
    <row r="112" spans="1:7" s="37" customFormat="1" ht="10.5" customHeight="1" x14ac:dyDescent="0.25">
      <c r="A112" s="130" t="s">
        <v>6</v>
      </c>
      <c r="B112" s="181">
        <v>112</v>
      </c>
      <c r="C112" s="181">
        <v>110</v>
      </c>
      <c r="D112" s="181">
        <v>2</v>
      </c>
      <c r="E112" s="181">
        <v>140548</v>
      </c>
      <c r="F112" s="181">
        <v>131197</v>
      </c>
      <c r="G112" s="181">
        <v>9351</v>
      </c>
    </row>
    <row r="113" spans="1:7" s="37" customFormat="1" ht="10.5" customHeight="1" x14ac:dyDescent="0.25">
      <c r="A113" s="192" t="s">
        <v>14</v>
      </c>
      <c r="B113" s="15">
        <v>76</v>
      </c>
      <c r="C113" s="15">
        <v>75</v>
      </c>
      <c r="D113" s="15">
        <v>1</v>
      </c>
      <c r="E113" s="15">
        <v>69575</v>
      </c>
      <c r="F113" s="15">
        <v>64210</v>
      </c>
      <c r="G113" s="15">
        <v>5365</v>
      </c>
    </row>
    <row r="114" spans="1:7" s="37" customFormat="1" ht="10.5" customHeight="1" x14ac:dyDescent="0.25">
      <c r="A114" s="192" t="s">
        <v>13</v>
      </c>
      <c r="B114" s="15">
        <v>36</v>
      </c>
      <c r="C114" s="15">
        <v>35</v>
      </c>
      <c r="D114" s="15">
        <v>1</v>
      </c>
      <c r="E114" s="15">
        <v>70973</v>
      </c>
      <c r="F114" s="15">
        <v>66987</v>
      </c>
      <c r="G114" s="15">
        <v>3986</v>
      </c>
    </row>
    <row r="115" spans="1:7" s="37" customFormat="1" ht="10.5" customHeight="1" x14ac:dyDescent="0.25">
      <c r="A115" s="159"/>
      <c r="B115" s="103"/>
      <c r="C115" s="103"/>
      <c r="D115" s="103"/>
      <c r="E115" s="103"/>
      <c r="F115" s="103"/>
      <c r="G115" s="103"/>
    </row>
    <row r="116" spans="1:7" s="37" customFormat="1" ht="10.5" customHeight="1" x14ac:dyDescent="0.25">
      <c r="A116" s="130" t="s">
        <v>5</v>
      </c>
      <c r="B116" s="181">
        <v>33616</v>
      </c>
      <c r="C116" s="181">
        <v>11283</v>
      </c>
      <c r="D116" s="181">
        <v>22333</v>
      </c>
      <c r="E116" s="181">
        <v>276116</v>
      </c>
      <c r="F116" s="181">
        <v>246324</v>
      </c>
      <c r="G116" s="181">
        <v>29792</v>
      </c>
    </row>
    <row r="117" spans="1:7" s="37" customFormat="1" ht="10.5" customHeight="1" x14ac:dyDescent="0.25">
      <c r="A117" s="192" t="s">
        <v>14</v>
      </c>
      <c r="B117" s="15">
        <v>16369</v>
      </c>
      <c r="C117" s="15">
        <v>5178</v>
      </c>
      <c r="D117" s="15">
        <v>11191</v>
      </c>
      <c r="E117" s="15">
        <v>138080</v>
      </c>
      <c r="F117" s="15">
        <v>121316</v>
      </c>
      <c r="G117" s="15">
        <v>16764</v>
      </c>
    </row>
    <row r="118" spans="1:7" s="37" customFormat="1" ht="10.5" customHeight="1" x14ac:dyDescent="0.25">
      <c r="A118" s="192" t="s">
        <v>13</v>
      </c>
      <c r="B118" s="15">
        <v>17247</v>
      </c>
      <c r="C118" s="15">
        <v>6105</v>
      </c>
      <c r="D118" s="15">
        <v>11142</v>
      </c>
      <c r="E118" s="15">
        <v>138036</v>
      </c>
      <c r="F118" s="15">
        <v>125008</v>
      </c>
      <c r="G118" s="15">
        <v>13028</v>
      </c>
    </row>
    <row r="119" spans="1:7" s="37" customFormat="1" ht="10.5" customHeight="1" x14ac:dyDescent="0.25">
      <c r="A119" s="159"/>
      <c r="B119" s="103"/>
      <c r="C119" s="103"/>
      <c r="D119" s="103"/>
      <c r="E119" s="103"/>
      <c r="F119" s="103"/>
      <c r="G119" s="103"/>
    </row>
    <row r="120" spans="1:7" s="37" customFormat="1" ht="10.5" customHeight="1" x14ac:dyDescent="0.25">
      <c r="A120" s="138" t="s">
        <v>129</v>
      </c>
      <c r="B120" s="179">
        <v>14654</v>
      </c>
      <c r="C120" s="179">
        <v>14651</v>
      </c>
      <c r="D120" s="179">
        <v>3</v>
      </c>
      <c r="E120" s="179">
        <v>5423855</v>
      </c>
      <c r="F120" s="179">
        <v>5419936</v>
      </c>
      <c r="G120" s="179">
        <v>3919</v>
      </c>
    </row>
    <row r="121" spans="1:7" s="37" customFormat="1" ht="10.5" customHeight="1" x14ac:dyDescent="0.25">
      <c r="A121" s="192" t="s">
        <v>14</v>
      </c>
      <c r="B121" s="15">
        <v>6909</v>
      </c>
      <c r="C121" s="15">
        <v>6907</v>
      </c>
      <c r="D121" s="15">
        <v>2</v>
      </c>
      <c r="E121" s="15">
        <v>2590060</v>
      </c>
      <c r="F121" s="15">
        <v>2588084</v>
      </c>
      <c r="G121" s="15">
        <v>1976</v>
      </c>
    </row>
    <row r="122" spans="1:7" s="37" customFormat="1" ht="10.5" customHeight="1" x14ac:dyDescent="0.25">
      <c r="A122" s="192" t="s">
        <v>13</v>
      </c>
      <c r="B122" s="15">
        <v>7745</v>
      </c>
      <c r="C122" s="15">
        <v>7744</v>
      </c>
      <c r="D122" s="15">
        <v>1</v>
      </c>
      <c r="E122" s="15">
        <v>2833795</v>
      </c>
      <c r="F122" s="15">
        <v>2831852</v>
      </c>
      <c r="G122" s="15">
        <v>1943</v>
      </c>
    </row>
    <row r="123" spans="1:7" s="37" customFormat="1" ht="10.5" customHeight="1" x14ac:dyDescent="0.25">
      <c r="A123" s="192"/>
      <c r="B123" s="103"/>
      <c r="C123" s="103"/>
      <c r="D123" s="103"/>
      <c r="E123" s="103"/>
      <c r="F123" s="103"/>
      <c r="G123" s="103"/>
    </row>
    <row r="124" spans="1:7" s="37" customFormat="1" ht="10.5" customHeight="1" x14ac:dyDescent="0.25">
      <c r="A124" s="139" t="s">
        <v>130</v>
      </c>
      <c r="B124" s="179">
        <v>505</v>
      </c>
      <c r="C124" s="179">
        <v>455</v>
      </c>
      <c r="D124" s="179">
        <v>50</v>
      </c>
      <c r="E124" s="179">
        <v>539927</v>
      </c>
      <c r="F124" s="179">
        <v>446551</v>
      </c>
      <c r="G124" s="179">
        <v>93376</v>
      </c>
    </row>
    <row r="125" spans="1:7" s="37" customFormat="1" ht="10.5" customHeight="1" x14ac:dyDescent="0.25">
      <c r="A125" s="192" t="s">
        <v>14</v>
      </c>
      <c r="B125" s="15">
        <v>262</v>
      </c>
      <c r="C125" s="15">
        <v>228</v>
      </c>
      <c r="D125" s="15">
        <v>34</v>
      </c>
      <c r="E125" s="15">
        <v>269099</v>
      </c>
      <c r="F125" s="15">
        <v>219252</v>
      </c>
      <c r="G125" s="15">
        <v>49847</v>
      </c>
    </row>
    <row r="126" spans="1:7" s="37" customFormat="1" ht="10.5" customHeight="1" x14ac:dyDescent="0.25">
      <c r="A126" s="192" t="s">
        <v>13</v>
      </c>
      <c r="B126" s="15">
        <v>243</v>
      </c>
      <c r="C126" s="15">
        <v>227</v>
      </c>
      <c r="D126" s="15">
        <v>16</v>
      </c>
      <c r="E126" s="15">
        <v>270828</v>
      </c>
      <c r="F126" s="15">
        <v>227299</v>
      </c>
      <c r="G126" s="15">
        <v>43529</v>
      </c>
    </row>
    <row r="127" spans="1:7" s="37" customFormat="1" ht="3" customHeight="1" thickBot="1" x14ac:dyDescent="0.3">
      <c r="A127" s="140"/>
      <c r="B127" s="141"/>
      <c r="C127" s="141"/>
      <c r="D127" s="141"/>
      <c r="E127" s="197"/>
      <c r="F127" s="197"/>
      <c r="G127" s="197"/>
    </row>
    <row r="128" spans="1:7" s="37" customFormat="1" ht="3" customHeight="1" x14ac:dyDescent="0.25">
      <c r="A128" s="21"/>
      <c r="B128" s="19"/>
      <c r="C128" s="19"/>
      <c r="D128" s="19"/>
      <c r="E128" s="40"/>
      <c r="F128" s="40"/>
      <c r="G128" s="40"/>
    </row>
    <row r="129" spans="1:7" customFormat="1" ht="28.5" customHeight="1" x14ac:dyDescent="0.2">
      <c r="A129" s="221" t="s">
        <v>108</v>
      </c>
      <c r="B129" s="221"/>
      <c r="C129" s="221"/>
      <c r="D129" s="221"/>
      <c r="E129" s="221"/>
      <c r="F129" s="221"/>
      <c r="G129" s="221"/>
    </row>
    <row r="130" spans="1:7" customFormat="1" ht="13.5" x14ac:dyDescent="0.25">
      <c r="A130" s="199" t="s">
        <v>86</v>
      </c>
      <c r="B130" s="199"/>
      <c r="C130" s="199"/>
      <c r="D130" s="199"/>
      <c r="E130" s="36"/>
      <c r="F130" s="36"/>
      <c r="G130" s="36"/>
    </row>
    <row r="131" spans="1:7" customFormat="1" ht="13.5" x14ac:dyDescent="0.25">
      <c r="A131" s="199" t="s">
        <v>87</v>
      </c>
      <c r="B131" s="199"/>
      <c r="C131" s="199"/>
      <c r="D131" s="199"/>
      <c r="E131" s="36"/>
      <c r="F131" s="36"/>
      <c r="G131" s="36"/>
    </row>
    <row r="132" spans="1:7" customFormat="1" ht="25.5" customHeight="1" x14ac:dyDescent="0.25">
      <c r="A132" s="235" t="s">
        <v>118</v>
      </c>
      <c r="B132" s="235"/>
      <c r="C132" s="235"/>
      <c r="D132" s="235"/>
      <c r="E132" s="235"/>
      <c r="F132" s="235"/>
      <c r="G132" s="235"/>
    </row>
  </sheetData>
  <mergeCells count="14">
    <mergeCell ref="A129:G129"/>
    <mergeCell ref="A132:G132"/>
    <mergeCell ref="A1:G1"/>
    <mergeCell ref="A2:G2"/>
    <mergeCell ref="A3:G3"/>
    <mergeCell ref="A5:A6"/>
    <mergeCell ref="B5:D5"/>
    <mergeCell ref="E5:G5"/>
    <mergeCell ref="A69:G69"/>
    <mergeCell ref="A70:G70"/>
    <mergeCell ref="A71:G71"/>
    <mergeCell ref="A73:A74"/>
    <mergeCell ref="B73:D73"/>
    <mergeCell ref="E73:G73"/>
  </mergeCells>
  <pageMargins left="0.98425196850393704" right="0.98425196850393704" top="0.98425196850393704" bottom="0.98425196850393704" header="0.98425196850393704" footer="0.9842519685039370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96"/>
  <sheetViews>
    <sheetView showWhiteSpace="0" view="pageBreakPreview" zoomScale="145" zoomScaleNormal="100" zoomScaleSheetLayoutView="145" workbookViewId="0">
      <selection sqref="A1:G1"/>
    </sheetView>
  </sheetViews>
  <sheetFormatPr baseColWidth="10" defaultRowHeight="12.75" x14ac:dyDescent="0.25"/>
  <cols>
    <col min="1" max="1" width="21.42578125" style="32" customWidth="1"/>
    <col min="2" max="2" width="8.28515625" style="34" customWidth="1"/>
    <col min="3" max="3" width="10" style="34" customWidth="1"/>
    <col min="4" max="4" width="8.85546875" style="34" customWidth="1"/>
    <col min="5" max="6" width="10" style="36" customWidth="1"/>
    <col min="7" max="7" width="9" style="36" customWidth="1"/>
    <col min="8" max="16384" width="11.42578125" style="32"/>
  </cols>
  <sheetData>
    <row r="1" spans="1:7" ht="12.75" customHeight="1" x14ac:dyDescent="0.2">
      <c r="A1" s="222" t="s">
        <v>147</v>
      </c>
      <c r="B1" s="222"/>
      <c r="C1" s="222"/>
      <c r="D1" s="222"/>
      <c r="E1" s="222"/>
      <c r="F1" s="222"/>
      <c r="G1" s="222"/>
    </row>
    <row r="2" spans="1:7" ht="36" customHeight="1" x14ac:dyDescent="0.2">
      <c r="A2" s="226" t="s">
        <v>114</v>
      </c>
      <c r="B2" s="226"/>
      <c r="C2" s="226"/>
      <c r="D2" s="226"/>
      <c r="E2" s="226"/>
      <c r="F2" s="226"/>
      <c r="G2" s="226"/>
    </row>
    <row r="3" spans="1:7" ht="12.75" customHeight="1" x14ac:dyDescent="0.25">
      <c r="A3" s="236" t="s">
        <v>17</v>
      </c>
      <c r="B3" s="236"/>
      <c r="C3" s="236"/>
      <c r="D3" s="236"/>
      <c r="E3" s="236"/>
      <c r="F3" s="236"/>
      <c r="G3" s="236"/>
    </row>
    <row r="4" spans="1:7" ht="10.5" customHeight="1" thickBot="1" x14ac:dyDescent="0.3">
      <c r="A4" s="52"/>
      <c r="B4" s="52"/>
      <c r="C4" s="52"/>
      <c r="D4" s="52"/>
      <c r="E4" s="52"/>
      <c r="F4" s="52"/>
      <c r="G4" s="52"/>
    </row>
    <row r="5" spans="1:7" ht="12.75" customHeight="1" thickBot="1" x14ac:dyDescent="0.25">
      <c r="A5" s="223" t="s">
        <v>90</v>
      </c>
      <c r="B5" s="210" t="s">
        <v>117</v>
      </c>
      <c r="C5" s="211"/>
      <c r="D5" s="212"/>
      <c r="E5" s="211" t="s">
        <v>116</v>
      </c>
      <c r="F5" s="211"/>
      <c r="G5" s="212"/>
    </row>
    <row r="6" spans="1:7" ht="12.75" customHeight="1" thickBot="1" x14ac:dyDescent="0.25">
      <c r="A6" s="224"/>
      <c r="B6" s="200" t="s">
        <v>15</v>
      </c>
      <c r="C6" s="156" t="s">
        <v>103</v>
      </c>
      <c r="D6" s="201" t="s">
        <v>107</v>
      </c>
      <c r="E6" s="156" t="s">
        <v>15</v>
      </c>
      <c r="F6" s="156" t="s">
        <v>103</v>
      </c>
      <c r="G6" s="201" t="s">
        <v>107</v>
      </c>
    </row>
    <row r="7" spans="1:7" ht="3.75" customHeight="1" x14ac:dyDescent="0.25">
      <c r="A7" s="129"/>
      <c r="B7" s="149"/>
      <c r="C7" s="150"/>
      <c r="D7" s="150"/>
      <c r="E7" s="190"/>
      <c r="F7" s="190"/>
      <c r="G7" s="191"/>
    </row>
    <row r="8" spans="1:7" ht="10.5" customHeight="1" x14ac:dyDescent="0.2">
      <c r="A8" s="130" t="s">
        <v>15</v>
      </c>
      <c r="B8" s="181">
        <f t="shared" ref="B8:D8" si="0">SUM(B9:B12)</f>
        <v>195639</v>
      </c>
      <c r="C8" s="181">
        <f t="shared" si="0"/>
        <v>53599</v>
      </c>
      <c r="D8" s="181">
        <f t="shared" si="0"/>
        <v>142040</v>
      </c>
      <c r="E8" s="182">
        <v>15597932</v>
      </c>
      <c r="F8" s="182">
        <v>13360203</v>
      </c>
      <c r="G8" s="182">
        <v>2237729</v>
      </c>
    </row>
    <row r="9" spans="1:7" ht="10.5" customHeight="1" x14ac:dyDescent="0.2">
      <c r="A9" s="192" t="s">
        <v>84</v>
      </c>
      <c r="B9" s="15">
        <v>90727</v>
      </c>
      <c r="C9" s="15">
        <v>23921</v>
      </c>
      <c r="D9" s="15">
        <v>66806</v>
      </c>
      <c r="E9" s="15">
        <v>5605209</v>
      </c>
      <c r="F9" s="15">
        <v>4804617</v>
      </c>
      <c r="G9" s="15">
        <v>800592</v>
      </c>
    </row>
    <row r="10" spans="1:7" ht="10.5" customHeight="1" x14ac:dyDescent="0.2">
      <c r="A10" s="192" t="s">
        <v>2</v>
      </c>
      <c r="B10" s="15">
        <v>58750</v>
      </c>
      <c r="C10" s="15">
        <v>16581</v>
      </c>
      <c r="D10" s="15">
        <v>42169</v>
      </c>
      <c r="E10" s="15">
        <v>4388477</v>
      </c>
      <c r="F10" s="15">
        <v>3773533</v>
      </c>
      <c r="G10" s="15">
        <v>614944</v>
      </c>
    </row>
    <row r="11" spans="1:7" ht="10.5" customHeight="1" x14ac:dyDescent="0.2">
      <c r="A11" s="192" t="s">
        <v>85</v>
      </c>
      <c r="B11" s="15">
        <v>31157</v>
      </c>
      <c r="C11" s="15">
        <v>8460</v>
      </c>
      <c r="D11" s="15">
        <v>22697</v>
      </c>
      <c r="E11" s="15">
        <v>3153970</v>
      </c>
      <c r="F11" s="15">
        <v>2711205</v>
      </c>
      <c r="G11" s="15">
        <v>442765</v>
      </c>
    </row>
    <row r="12" spans="1:7" ht="10.5" customHeight="1" x14ac:dyDescent="0.2">
      <c r="A12" s="192" t="s">
        <v>0</v>
      </c>
      <c r="B12" s="15">
        <v>15005</v>
      </c>
      <c r="C12" s="15">
        <v>4637</v>
      </c>
      <c r="D12" s="15">
        <v>10368</v>
      </c>
      <c r="E12" s="15">
        <v>2450276</v>
      </c>
      <c r="F12" s="15">
        <v>2070848</v>
      </c>
      <c r="G12" s="15">
        <v>379428</v>
      </c>
    </row>
    <row r="13" spans="1:7" s="37" customFormat="1" ht="10.5" customHeight="1" x14ac:dyDescent="0.25">
      <c r="A13" s="158"/>
      <c r="B13" s="177"/>
      <c r="C13" s="177"/>
      <c r="D13" s="177"/>
      <c r="E13" s="123"/>
      <c r="F13" s="123"/>
      <c r="G13" s="202"/>
    </row>
    <row r="14" spans="1:7" s="37" customFormat="1" ht="10.5" customHeight="1" x14ac:dyDescent="0.25">
      <c r="A14" s="130" t="s">
        <v>35</v>
      </c>
      <c r="B14" s="181">
        <f>SUM(B15:B18)</f>
        <v>31739</v>
      </c>
      <c r="C14" s="181">
        <f t="shared" ref="C14:D14" si="1">SUM(C15:C18)</f>
        <v>2833</v>
      </c>
      <c r="D14" s="181">
        <f t="shared" si="1"/>
        <v>28906</v>
      </c>
      <c r="E14" s="182">
        <v>215825</v>
      </c>
      <c r="F14" s="182">
        <v>104282</v>
      </c>
      <c r="G14" s="182">
        <v>111543</v>
      </c>
    </row>
    <row r="15" spans="1:7" s="37" customFormat="1" ht="10.5" customHeight="1" x14ac:dyDescent="0.25">
      <c r="A15" s="192" t="s">
        <v>84</v>
      </c>
      <c r="B15" s="15">
        <v>15411</v>
      </c>
      <c r="C15" s="15">
        <v>1563</v>
      </c>
      <c r="D15" s="15">
        <v>13848</v>
      </c>
      <c r="E15" s="15">
        <v>75030</v>
      </c>
      <c r="F15" s="15">
        <v>37474</v>
      </c>
      <c r="G15" s="15">
        <v>37556</v>
      </c>
    </row>
    <row r="16" spans="1:7" s="37" customFormat="1" ht="10.5" customHeight="1" x14ac:dyDescent="0.25">
      <c r="A16" s="192" t="s">
        <v>2</v>
      </c>
      <c r="B16" s="15">
        <v>9528</v>
      </c>
      <c r="C16" s="15">
        <v>757</v>
      </c>
      <c r="D16" s="15">
        <v>8771</v>
      </c>
      <c r="E16" s="15">
        <v>61733</v>
      </c>
      <c r="F16" s="15">
        <v>30343</v>
      </c>
      <c r="G16" s="15">
        <v>31390</v>
      </c>
    </row>
    <row r="17" spans="1:7" s="37" customFormat="1" ht="10.5" customHeight="1" x14ac:dyDescent="0.25">
      <c r="A17" s="192" t="s">
        <v>85</v>
      </c>
      <c r="B17" s="15">
        <v>4585</v>
      </c>
      <c r="C17" s="15">
        <v>358</v>
      </c>
      <c r="D17" s="15">
        <v>4227</v>
      </c>
      <c r="E17" s="15">
        <v>44518</v>
      </c>
      <c r="F17" s="15">
        <v>21478</v>
      </c>
      <c r="G17" s="15">
        <v>23040</v>
      </c>
    </row>
    <row r="18" spans="1:7" s="37" customFormat="1" ht="10.5" customHeight="1" x14ac:dyDescent="0.25">
      <c r="A18" s="192" t="s">
        <v>0</v>
      </c>
      <c r="B18" s="15">
        <v>2215</v>
      </c>
      <c r="C18" s="15">
        <v>155</v>
      </c>
      <c r="D18" s="15">
        <v>2060</v>
      </c>
      <c r="E18" s="15">
        <v>34544</v>
      </c>
      <c r="F18" s="15">
        <v>14987</v>
      </c>
      <c r="G18" s="15">
        <v>19557</v>
      </c>
    </row>
    <row r="19" spans="1:7" s="37" customFormat="1" ht="10.5" customHeight="1" x14ac:dyDescent="0.25">
      <c r="A19" s="159"/>
      <c r="B19" s="103"/>
      <c r="C19" s="103"/>
      <c r="D19" s="103"/>
      <c r="E19" s="202"/>
      <c r="F19" s="202"/>
      <c r="G19" s="202"/>
    </row>
    <row r="20" spans="1:7" s="37" customFormat="1" ht="10.5" customHeight="1" x14ac:dyDescent="0.25">
      <c r="A20" s="130" t="s">
        <v>34</v>
      </c>
      <c r="B20" s="181">
        <f>SUM(B21:B24)</f>
        <v>208</v>
      </c>
      <c r="C20" s="181">
        <f t="shared" ref="C20:D20" si="2">SUM(C21:C24)</f>
        <v>178</v>
      </c>
      <c r="D20" s="181">
        <f t="shared" si="2"/>
        <v>30</v>
      </c>
      <c r="E20" s="182">
        <v>507165</v>
      </c>
      <c r="F20" s="182">
        <v>384935</v>
      </c>
      <c r="G20" s="182">
        <v>122230</v>
      </c>
    </row>
    <row r="21" spans="1:7" s="37" customFormat="1" ht="10.5" customHeight="1" x14ac:dyDescent="0.25">
      <c r="A21" s="192" t="s">
        <v>84</v>
      </c>
      <c r="B21" s="15">
        <v>75</v>
      </c>
      <c r="C21" s="15">
        <v>68</v>
      </c>
      <c r="D21" s="15">
        <v>7</v>
      </c>
      <c r="E21" s="15">
        <v>174700</v>
      </c>
      <c r="F21" s="15">
        <v>132901</v>
      </c>
      <c r="G21" s="15">
        <v>41799</v>
      </c>
    </row>
    <row r="22" spans="1:7" s="37" customFormat="1" ht="10.5" customHeight="1" x14ac:dyDescent="0.25">
      <c r="A22" s="192" t="s">
        <v>2</v>
      </c>
      <c r="B22" s="15">
        <v>82</v>
      </c>
      <c r="C22" s="15">
        <v>65</v>
      </c>
      <c r="D22" s="15">
        <v>17</v>
      </c>
      <c r="E22" s="15">
        <v>138305</v>
      </c>
      <c r="F22" s="15">
        <v>105881</v>
      </c>
      <c r="G22" s="15">
        <v>32424</v>
      </c>
    </row>
    <row r="23" spans="1:7" s="37" customFormat="1" ht="10.5" customHeight="1" x14ac:dyDescent="0.25">
      <c r="A23" s="192" t="s">
        <v>85</v>
      </c>
      <c r="B23" s="15">
        <v>41</v>
      </c>
      <c r="C23" s="15">
        <v>36</v>
      </c>
      <c r="D23" s="15">
        <v>5</v>
      </c>
      <c r="E23" s="15">
        <v>106427</v>
      </c>
      <c r="F23" s="15">
        <v>81875</v>
      </c>
      <c r="G23" s="15">
        <v>24552</v>
      </c>
    </row>
    <row r="24" spans="1:7" s="37" customFormat="1" ht="10.5" customHeight="1" x14ac:dyDescent="0.25">
      <c r="A24" s="192" t="s">
        <v>0</v>
      </c>
      <c r="B24" s="15">
        <v>10</v>
      </c>
      <c r="C24" s="15">
        <v>9</v>
      </c>
      <c r="D24" s="15">
        <v>1</v>
      </c>
      <c r="E24" s="15">
        <v>87733</v>
      </c>
      <c r="F24" s="15">
        <v>64278</v>
      </c>
      <c r="G24" s="15">
        <v>23455</v>
      </c>
    </row>
    <row r="25" spans="1:7" s="37" customFormat="1" ht="10.5" customHeight="1" x14ac:dyDescent="0.25">
      <c r="A25" s="159"/>
      <c r="B25" s="103"/>
      <c r="C25" s="103"/>
      <c r="D25" s="103"/>
      <c r="E25" s="202"/>
      <c r="F25" s="202"/>
      <c r="G25" s="202"/>
    </row>
    <row r="26" spans="1:7" s="37" customFormat="1" ht="10.5" customHeight="1" x14ac:dyDescent="0.25">
      <c r="A26" s="130" t="s">
        <v>33</v>
      </c>
      <c r="B26" s="181">
        <f>SUM(B27:B30)</f>
        <v>138</v>
      </c>
      <c r="C26" s="181">
        <f t="shared" ref="C26:D26" si="3">SUM(C27:C30)</f>
        <v>95</v>
      </c>
      <c r="D26" s="181">
        <f t="shared" si="3"/>
        <v>43</v>
      </c>
      <c r="E26" s="182">
        <v>37503</v>
      </c>
      <c r="F26" s="182">
        <v>26028</v>
      </c>
      <c r="G26" s="182">
        <v>11475</v>
      </c>
    </row>
    <row r="27" spans="1:7" s="37" customFormat="1" ht="10.5" customHeight="1" x14ac:dyDescent="0.25">
      <c r="A27" s="192" t="s">
        <v>84</v>
      </c>
      <c r="B27" s="15">
        <v>61</v>
      </c>
      <c r="C27" s="15">
        <v>41</v>
      </c>
      <c r="D27" s="15">
        <v>20</v>
      </c>
      <c r="E27" s="15">
        <v>16589</v>
      </c>
      <c r="F27" s="15">
        <v>11849</v>
      </c>
      <c r="G27" s="15">
        <v>4740</v>
      </c>
    </row>
    <row r="28" spans="1:7" s="37" customFormat="1" ht="10.5" customHeight="1" x14ac:dyDescent="0.25">
      <c r="A28" s="192" t="s">
        <v>2</v>
      </c>
      <c r="B28" s="15">
        <v>51</v>
      </c>
      <c r="C28" s="15">
        <v>41</v>
      </c>
      <c r="D28" s="15">
        <v>10</v>
      </c>
      <c r="E28" s="15">
        <v>9870</v>
      </c>
      <c r="F28" s="15">
        <v>6895</v>
      </c>
      <c r="G28" s="15">
        <v>2975</v>
      </c>
    </row>
    <row r="29" spans="1:7" s="37" customFormat="1" ht="10.5" customHeight="1" x14ac:dyDescent="0.25">
      <c r="A29" s="192" t="s">
        <v>85</v>
      </c>
      <c r="B29" s="15">
        <v>20</v>
      </c>
      <c r="C29" s="15">
        <v>12</v>
      </c>
      <c r="D29" s="15">
        <v>8</v>
      </c>
      <c r="E29" s="15">
        <v>6581</v>
      </c>
      <c r="F29" s="15">
        <v>4523</v>
      </c>
      <c r="G29" s="15">
        <v>2058</v>
      </c>
    </row>
    <row r="30" spans="1:7" s="37" customFormat="1" ht="10.5" customHeight="1" x14ac:dyDescent="0.25">
      <c r="A30" s="192" t="s">
        <v>0</v>
      </c>
      <c r="B30" s="15">
        <v>6</v>
      </c>
      <c r="C30" s="15">
        <v>1</v>
      </c>
      <c r="D30" s="15">
        <v>5</v>
      </c>
      <c r="E30" s="15">
        <v>4463</v>
      </c>
      <c r="F30" s="15">
        <v>2761</v>
      </c>
      <c r="G30" s="15">
        <v>1702</v>
      </c>
    </row>
    <row r="31" spans="1:7" s="37" customFormat="1" ht="10.5" customHeight="1" x14ac:dyDescent="0.25">
      <c r="A31" s="158"/>
      <c r="B31" s="103"/>
      <c r="C31" s="103"/>
      <c r="D31" s="103"/>
      <c r="E31" s="202"/>
      <c r="F31" s="202"/>
      <c r="G31" s="202"/>
    </row>
    <row r="32" spans="1:7" s="37" customFormat="1" ht="10.5" customHeight="1" x14ac:dyDescent="0.25">
      <c r="A32" s="130" t="s">
        <v>32</v>
      </c>
      <c r="B32" s="181">
        <f>SUM(B33:B36)</f>
        <v>613</v>
      </c>
      <c r="C32" s="181">
        <f t="shared" ref="C32:D32" si="4">SUM(C33:C36)</f>
        <v>581</v>
      </c>
      <c r="D32" s="181">
        <f t="shared" si="4"/>
        <v>32</v>
      </c>
      <c r="E32" s="182">
        <v>674328</v>
      </c>
      <c r="F32" s="182">
        <v>631019</v>
      </c>
      <c r="G32" s="182">
        <v>43309</v>
      </c>
    </row>
    <row r="33" spans="1:7" s="37" customFormat="1" ht="10.5" customHeight="1" x14ac:dyDescent="0.25">
      <c r="A33" s="192" t="s">
        <v>84</v>
      </c>
      <c r="B33" s="15">
        <v>283</v>
      </c>
      <c r="C33" s="15">
        <v>267</v>
      </c>
      <c r="D33" s="15">
        <v>16</v>
      </c>
      <c r="E33" s="15">
        <v>240547</v>
      </c>
      <c r="F33" s="15">
        <v>227427</v>
      </c>
      <c r="G33" s="15">
        <v>13120</v>
      </c>
    </row>
    <row r="34" spans="1:7" s="37" customFormat="1" ht="10.5" customHeight="1" x14ac:dyDescent="0.25">
      <c r="A34" s="192" t="s">
        <v>2</v>
      </c>
      <c r="B34" s="15">
        <v>208</v>
      </c>
      <c r="C34" s="15">
        <v>199</v>
      </c>
      <c r="D34" s="15">
        <v>9</v>
      </c>
      <c r="E34" s="15">
        <v>183455</v>
      </c>
      <c r="F34" s="15">
        <v>171831</v>
      </c>
      <c r="G34" s="15">
        <v>11624</v>
      </c>
    </row>
    <row r="35" spans="1:7" s="37" customFormat="1" ht="10.5" customHeight="1" x14ac:dyDescent="0.25">
      <c r="A35" s="192" t="s">
        <v>85</v>
      </c>
      <c r="B35" s="15">
        <v>76</v>
      </c>
      <c r="C35" s="15">
        <v>71</v>
      </c>
      <c r="D35" s="15">
        <v>5</v>
      </c>
      <c r="E35" s="15">
        <v>139736</v>
      </c>
      <c r="F35" s="15">
        <v>130148</v>
      </c>
      <c r="G35" s="15">
        <v>9588</v>
      </c>
    </row>
    <row r="36" spans="1:7" s="37" customFormat="1" ht="10.5" customHeight="1" x14ac:dyDescent="0.25">
      <c r="A36" s="192" t="s">
        <v>0</v>
      </c>
      <c r="B36" s="15">
        <v>46</v>
      </c>
      <c r="C36" s="15">
        <v>44</v>
      </c>
      <c r="D36" s="15">
        <v>2</v>
      </c>
      <c r="E36" s="15">
        <v>110590</v>
      </c>
      <c r="F36" s="15">
        <v>101613</v>
      </c>
      <c r="G36" s="15">
        <v>8977</v>
      </c>
    </row>
    <row r="37" spans="1:7" s="37" customFormat="1" ht="10.5" customHeight="1" x14ac:dyDescent="0.25">
      <c r="A37" s="159"/>
      <c r="B37" s="103"/>
      <c r="C37" s="103"/>
      <c r="D37" s="103"/>
      <c r="E37" s="202"/>
      <c r="F37" s="202"/>
      <c r="G37" s="202"/>
    </row>
    <row r="38" spans="1:7" s="37" customFormat="1" ht="10.5" customHeight="1" x14ac:dyDescent="0.25">
      <c r="A38" s="130" t="s">
        <v>31</v>
      </c>
      <c r="B38" s="181">
        <f>SUM(B39:B42)</f>
        <v>294</v>
      </c>
      <c r="C38" s="181">
        <f t="shared" ref="C38:D38" si="5">SUM(C39:C42)</f>
        <v>175</v>
      </c>
      <c r="D38" s="181">
        <f t="shared" si="5"/>
        <v>119</v>
      </c>
      <c r="E38" s="182">
        <v>79132</v>
      </c>
      <c r="F38" s="182">
        <v>55005</v>
      </c>
      <c r="G38" s="182">
        <v>24127</v>
      </c>
    </row>
    <row r="39" spans="1:7" s="37" customFormat="1" ht="10.5" customHeight="1" x14ac:dyDescent="0.25">
      <c r="A39" s="192" t="s">
        <v>84</v>
      </c>
      <c r="B39" s="15">
        <v>164</v>
      </c>
      <c r="C39" s="15">
        <v>107</v>
      </c>
      <c r="D39" s="15">
        <v>57</v>
      </c>
      <c r="E39" s="15">
        <v>35563</v>
      </c>
      <c r="F39" s="15">
        <v>25949</v>
      </c>
      <c r="G39" s="15">
        <v>9614</v>
      </c>
    </row>
    <row r="40" spans="1:7" s="37" customFormat="1" ht="10.5" customHeight="1" x14ac:dyDescent="0.25">
      <c r="A40" s="192" t="s">
        <v>2</v>
      </c>
      <c r="B40" s="15">
        <v>89</v>
      </c>
      <c r="C40" s="15">
        <v>55</v>
      </c>
      <c r="D40" s="15">
        <v>34</v>
      </c>
      <c r="E40" s="15">
        <v>20923</v>
      </c>
      <c r="F40" s="15">
        <v>14741</v>
      </c>
      <c r="G40" s="15">
        <v>6182</v>
      </c>
    </row>
    <row r="41" spans="1:7" s="37" customFormat="1" ht="10.5" customHeight="1" x14ac:dyDescent="0.25">
      <c r="A41" s="192" t="s">
        <v>85</v>
      </c>
      <c r="B41" s="15">
        <v>28</v>
      </c>
      <c r="C41" s="15">
        <v>9</v>
      </c>
      <c r="D41" s="15">
        <v>19</v>
      </c>
      <c r="E41" s="15">
        <v>12996</v>
      </c>
      <c r="F41" s="15">
        <v>8702</v>
      </c>
      <c r="G41" s="15">
        <v>4294</v>
      </c>
    </row>
    <row r="42" spans="1:7" s="37" customFormat="1" ht="10.5" customHeight="1" x14ac:dyDescent="0.25">
      <c r="A42" s="192" t="s">
        <v>0</v>
      </c>
      <c r="B42" s="15">
        <v>13</v>
      </c>
      <c r="C42" s="15">
        <v>4</v>
      </c>
      <c r="D42" s="15">
        <v>9</v>
      </c>
      <c r="E42" s="15">
        <v>9650</v>
      </c>
      <c r="F42" s="15">
        <v>5613</v>
      </c>
      <c r="G42" s="15">
        <v>4037</v>
      </c>
    </row>
    <row r="43" spans="1:7" s="37" customFormat="1" ht="10.5" customHeight="1" x14ac:dyDescent="0.25">
      <c r="A43" s="193"/>
      <c r="B43" s="7"/>
      <c r="C43" s="7"/>
      <c r="D43" s="6"/>
      <c r="E43" s="123"/>
      <c r="F43" s="123"/>
      <c r="G43" s="123"/>
    </row>
    <row r="44" spans="1:7" s="37" customFormat="1" ht="10.5" customHeight="1" x14ac:dyDescent="0.25">
      <c r="A44" s="130" t="s">
        <v>30</v>
      </c>
      <c r="B44" s="181">
        <f>SUM(B45:B48)</f>
        <v>1836</v>
      </c>
      <c r="C44" s="181">
        <f t="shared" ref="C44:D44" si="6">SUM(C45:C48)</f>
        <v>534</v>
      </c>
      <c r="D44" s="181">
        <f t="shared" si="6"/>
        <v>1302</v>
      </c>
      <c r="E44" s="182">
        <v>849346</v>
      </c>
      <c r="F44" s="182">
        <v>304668</v>
      </c>
      <c r="G44" s="182">
        <v>544678</v>
      </c>
    </row>
    <row r="45" spans="1:7" s="37" customFormat="1" ht="10.5" customHeight="1" x14ac:dyDescent="0.25">
      <c r="A45" s="192" t="s">
        <v>84</v>
      </c>
      <c r="B45" s="15">
        <v>807</v>
      </c>
      <c r="C45" s="15">
        <v>275</v>
      </c>
      <c r="D45" s="15">
        <v>532</v>
      </c>
      <c r="E45" s="15">
        <v>295570</v>
      </c>
      <c r="F45" s="15">
        <v>113604</v>
      </c>
      <c r="G45" s="15">
        <v>181966</v>
      </c>
    </row>
    <row r="46" spans="1:7" s="37" customFormat="1" ht="10.5" customHeight="1" x14ac:dyDescent="0.25">
      <c r="A46" s="192" t="s">
        <v>2</v>
      </c>
      <c r="B46" s="15">
        <v>537</v>
      </c>
      <c r="C46" s="15">
        <v>150</v>
      </c>
      <c r="D46" s="15">
        <v>387</v>
      </c>
      <c r="E46" s="15">
        <v>242824</v>
      </c>
      <c r="F46" s="15">
        <v>90398</v>
      </c>
      <c r="G46" s="15">
        <v>152426</v>
      </c>
    </row>
    <row r="47" spans="1:7" s="37" customFormat="1" ht="10.5" customHeight="1" x14ac:dyDescent="0.25">
      <c r="A47" s="192" t="s">
        <v>85</v>
      </c>
      <c r="B47" s="15">
        <v>293</v>
      </c>
      <c r="C47" s="15">
        <v>65</v>
      </c>
      <c r="D47" s="15">
        <v>228</v>
      </c>
      <c r="E47" s="15">
        <v>169336</v>
      </c>
      <c r="F47" s="15">
        <v>59104</v>
      </c>
      <c r="G47" s="15">
        <v>110232</v>
      </c>
    </row>
    <row r="48" spans="1:7" s="37" customFormat="1" ht="10.5" customHeight="1" x14ac:dyDescent="0.25">
      <c r="A48" s="192" t="s">
        <v>0</v>
      </c>
      <c r="B48" s="15">
        <v>199</v>
      </c>
      <c r="C48" s="15">
        <v>44</v>
      </c>
      <c r="D48" s="15">
        <v>155</v>
      </c>
      <c r="E48" s="15">
        <v>141616</v>
      </c>
      <c r="F48" s="15">
        <v>41562</v>
      </c>
      <c r="G48" s="15">
        <v>100054</v>
      </c>
    </row>
    <row r="49" spans="1:7" s="37" customFormat="1" ht="10.5" customHeight="1" x14ac:dyDescent="0.25">
      <c r="A49" s="159"/>
      <c r="B49" s="103"/>
      <c r="C49" s="103"/>
      <c r="D49" s="103"/>
      <c r="E49" s="202"/>
      <c r="F49" s="202"/>
      <c r="G49" s="202"/>
    </row>
    <row r="50" spans="1:7" s="37" customFormat="1" ht="10.5" customHeight="1" x14ac:dyDescent="0.25">
      <c r="A50" s="137" t="s">
        <v>29</v>
      </c>
      <c r="B50" s="181">
        <f>SUM(B51:B54)</f>
        <v>1469</v>
      </c>
      <c r="C50" s="181">
        <f t="shared" ref="C50:D50" si="7">SUM(C51:C54)</f>
        <v>1469</v>
      </c>
      <c r="D50" s="181">
        <f t="shared" si="7"/>
        <v>0</v>
      </c>
      <c r="E50" s="182">
        <v>643374</v>
      </c>
      <c r="F50" s="182">
        <v>643374</v>
      </c>
      <c r="G50" s="181">
        <v>0</v>
      </c>
    </row>
    <row r="51" spans="1:7" s="37" customFormat="1" ht="10.5" customHeight="1" x14ac:dyDescent="0.25">
      <c r="A51" s="192" t="s">
        <v>84</v>
      </c>
      <c r="B51" s="15">
        <v>544</v>
      </c>
      <c r="C51" s="15">
        <v>544</v>
      </c>
      <c r="D51" s="15">
        <v>0</v>
      </c>
      <c r="E51" s="15">
        <v>224126</v>
      </c>
      <c r="F51" s="15">
        <v>224126</v>
      </c>
      <c r="G51" s="15">
        <v>0</v>
      </c>
    </row>
    <row r="52" spans="1:7" s="37" customFormat="1" ht="10.5" customHeight="1" x14ac:dyDescent="0.25">
      <c r="A52" s="192" t="s">
        <v>2</v>
      </c>
      <c r="B52" s="15">
        <v>531</v>
      </c>
      <c r="C52" s="15">
        <v>531</v>
      </c>
      <c r="D52" s="15">
        <v>0</v>
      </c>
      <c r="E52" s="15">
        <v>184105</v>
      </c>
      <c r="F52" s="15">
        <v>184105</v>
      </c>
      <c r="G52" s="15">
        <v>0</v>
      </c>
    </row>
    <row r="53" spans="1:7" s="37" customFormat="1" ht="10.5" customHeight="1" x14ac:dyDescent="0.25">
      <c r="A53" s="192" t="s">
        <v>85</v>
      </c>
      <c r="B53" s="15">
        <v>250</v>
      </c>
      <c r="C53" s="15">
        <v>250</v>
      </c>
      <c r="D53" s="15">
        <v>0</v>
      </c>
      <c r="E53" s="15">
        <v>131969</v>
      </c>
      <c r="F53" s="15">
        <v>131969</v>
      </c>
      <c r="G53" s="15">
        <v>0</v>
      </c>
    </row>
    <row r="54" spans="1:7" s="37" customFormat="1" ht="10.5" customHeight="1" x14ac:dyDescent="0.25">
      <c r="A54" s="192" t="s">
        <v>0</v>
      </c>
      <c r="B54" s="15">
        <v>144</v>
      </c>
      <c r="C54" s="15">
        <v>144</v>
      </c>
      <c r="D54" s="15">
        <v>0</v>
      </c>
      <c r="E54" s="15">
        <v>103174</v>
      </c>
      <c r="F54" s="15">
        <v>103174</v>
      </c>
      <c r="G54" s="15">
        <v>0</v>
      </c>
    </row>
    <row r="55" spans="1:7" s="37" customFormat="1" ht="10.5" customHeight="1" x14ac:dyDescent="0.25">
      <c r="A55" s="192"/>
      <c r="B55" s="103"/>
      <c r="C55" s="103"/>
      <c r="D55" s="103"/>
      <c r="E55" s="202"/>
      <c r="F55" s="202"/>
      <c r="G55" s="202"/>
    </row>
    <row r="56" spans="1:7" s="37" customFormat="1" ht="10.5" customHeight="1" x14ac:dyDescent="0.25">
      <c r="A56" s="130" t="s">
        <v>28</v>
      </c>
      <c r="B56" s="181">
        <f>SUM(B57:B60)</f>
        <v>6371</v>
      </c>
      <c r="C56" s="181">
        <f t="shared" ref="C56:D56" si="8">SUM(C57:C60)</f>
        <v>760</v>
      </c>
      <c r="D56" s="181">
        <f t="shared" si="8"/>
        <v>5611</v>
      </c>
      <c r="E56" s="182">
        <v>213084</v>
      </c>
      <c r="F56" s="182">
        <v>174967</v>
      </c>
      <c r="G56" s="182">
        <v>38117</v>
      </c>
    </row>
    <row r="57" spans="1:7" s="37" customFormat="1" ht="10.5" customHeight="1" x14ac:dyDescent="0.25">
      <c r="A57" s="192" t="s">
        <v>84</v>
      </c>
      <c r="B57" s="15">
        <v>3067</v>
      </c>
      <c r="C57" s="15">
        <v>434</v>
      </c>
      <c r="D57" s="15">
        <v>2633</v>
      </c>
      <c r="E57" s="15">
        <v>85489</v>
      </c>
      <c r="F57" s="15">
        <v>69413</v>
      </c>
      <c r="G57" s="15">
        <v>16076</v>
      </c>
    </row>
    <row r="58" spans="1:7" s="37" customFormat="1" ht="10.5" customHeight="1" x14ac:dyDescent="0.25">
      <c r="A58" s="192" t="s">
        <v>2</v>
      </c>
      <c r="B58" s="15">
        <v>1899</v>
      </c>
      <c r="C58" s="15">
        <v>205</v>
      </c>
      <c r="D58" s="15">
        <v>1694</v>
      </c>
      <c r="E58" s="15">
        <v>57428</v>
      </c>
      <c r="F58" s="15">
        <v>47011</v>
      </c>
      <c r="G58" s="15">
        <v>10417</v>
      </c>
    </row>
    <row r="59" spans="1:7" s="37" customFormat="1" ht="10.5" customHeight="1" x14ac:dyDescent="0.25">
      <c r="A59" s="192" t="s">
        <v>85</v>
      </c>
      <c r="B59" s="15">
        <v>1003</v>
      </c>
      <c r="C59" s="15">
        <v>92</v>
      </c>
      <c r="D59" s="15">
        <v>911</v>
      </c>
      <c r="E59" s="15">
        <v>41359</v>
      </c>
      <c r="F59" s="15">
        <v>34260</v>
      </c>
      <c r="G59" s="15">
        <v>7099</v>
      </c>
    </row>
    <row r="60" spans="1:7" s="37" customFormat="1" ht="10.5" customHeight="1" x14ac:dyDescent="0.25">
      <c r="A60" s="192" t="s">
        <v>0</v>
      </c>
      <c r="B60" s="15">
        <v>402</v>
      </c>
      <c r="C60" s="15">
        <v>29</v>
      </c>
      <c r="D60" s="15">
        <v>373</v>
      </c>
      <c r="E60" s="15">
        <v>28808</v>
      </c>
      <c r="F60" s="15">
        <v>24283</v>
      </c>
      <c r="G60" s="15">
        <v>4525</v>
      </c>
    </row>
    <row r="61" spans="1:7" s="37" customFormat="1" ht="10.5" customHeight="1" x14ac:dyDescent="0.25">
      <c r="A61" s="159"/>
      <c r="B61" s="103"/>
      <c r="C61" s="103"/>
      <c r="D61" s="103"/>
      <c r="E61" s="202"/>
      <c r="F61" s="202"/>
      <c r="G61" s="202"/>
    </row>
    <row r="62" spans="1:7" s="37" customFormat="1" ht="10.5" customHeight="1" x14ac:dyDescent="0.25">
      <c r="A62" s="130" t="s">
        <v>27</v>
      </c>
      <c r="B62" s="181">
        <f>SUM(B63:B66)</f>
        <v>47</v>
      </c>
      <c r="C62" s="181">
        <f t="shared" ref="C62:D62" si="9">SUM(C63:C66)</f>
        <v>32</v>
      </c>
      <c r="D62" s="181">
        <f t="shared" si="9"/>
        <v>15</v>
      </c>
      <c r="E62" s="182">
        <v>47341</v>
      </c>
      <c r="F62" s="182">
        <v>20995</v>
      </c>
      <c r="G62" s="182">
        <v>26346</v>
      </c>
    </row>
    <row r="63" spans="1:7" s="37" customFormat="1" ht="10.5" customHeight="1" x14ac:dyDescent="0.25">
      <c r="A63" s="192" t="s">
        <v>84</v>
      </c>
      <c r="B63" s="15">
        <v>32</v>
      </c>
      <c r="C63" s="15">
        <v>20</v>
      </c>
      <c r="D63" s="15">
        <v>12</v>
      </c>
      <c r="E63" s="15">
        <v>20881</v>
      </c>
      <c r="F63" s="15">
        <v>10062</v>
      </c>
      <c r="G63" s="15">
        <v>10819</v>
      </c>
    </row>
    <row r="64" spans="1:7" s="37" customFormat="1" ht="10.5" customHeight="1" x14ac:dyDescent="0.25">
      <c r="A64" s="192" t="s">
        <v>2</v>
      </c>
      <c r="B64" s="15">
        <v>12</v>
      </c>
      <c r="C64" s="15">
        <v>10</v>
      </c>
      <c r="D64" s="15">
        <v>2</v>
      </c>
      <c r="E64" s="15">
        <v>11589</v>
      </c>
      <c r="F64" s="15">
        <v>5502</v>
      </c>
      <c r="G64" s="15">
        <v>6087</v>
      </c>
    </row>
    <row r="65" spans="1:7" s="37" customFormat="1" ht="10.5" customHeight="1" x14ac:dyDescent="0.25">
      <c r="A65" s="192" t="s">
        <v>85</v>
      </c>
      <c r="B65" s="15">
        <v>2</v>
      </c>
      <c r="C65" s="15">
        <v>2</v>
      </c>
      <c r="D65" s="15">
        <v>0</v>
      </c>
      <c r="E65" s="15">
        <v>8267</v>
      </c>
      <c r="F65" s="15">
        <v>3346</v>
      </c>
      <c r="G65" s="15">
        <v>4921</v>
      </c>
    </row>
    <row r="66" spans="1:7" s="37" customFormat="1" ht="10.5" customHeight="1" x14ac:dyDescent="0.25">
      <c r="A66" s="192" t="s">
        <v>0</v>
      </c>
      <c r="B66" s="15">
        <v>1</v>
      </c>
      <c r="C66" s="15">
        <v>0</v>
      </c>
      <c r="D66" s="15">
        <v>1</v>
      </c>
      <c r="E66" s="15">
        <v>6604</v>
      </c>
      <c r="F66" s="15">
        <v>2085</v>
      </c>
      <c r="G66" s="15">
        <v>4519</v>
      </c>
    </row>
    <row r="67" spans="1:7" s="37" customFormat="1" ht="3.75" customHeight="1" thickBot="1" x14ac:dyDescent="0.3">
      <c r="A67" s="194"/>
      <c r="B67" s="195"/>
      <c r="C67" s="195"/>
      <c r="D67" s="196"/>
      <c r="E67" s="197"/>
      <c r="F67" s="197"/>
      <c r="G67" s="197"/>
    </row>
    <row r="68" spans="1:7" s="37" customFormat="1" ht="10.5" customHeight="1" x14ac:dyDescent="0.25">
      <c r="A68" s="198"/>
      <c r="B68" s="39"/>
      <c r="C68" s="39"/>
      <c r="D68" s="38"/>
      <c r="E68" s="40"/>
      <c r="F68" s="40"/>
      <c r="G68" s="39" t="s">
        <v>83</v>
      </c>
    </row>
    <row r="69" spans="1:7" ht="12.75" customHeight="1" x14ac:dyDescent="0.2">
      <c r="A69" s="222" t="str">
        <f>A$1</f>
        <v>CUADRO Nº 2.12</v>
      </c>
      <c r="B69" s="222"/>
      <c r="C69" s="222"/>
      <c r="D69" s="222"/>
      <c r="E69" s="222"/>
      <c r="F69" s="222"/>
      <c r="G69" s="222"/>
    </row>
    <row r="70" spans="1:7" ht="39" customHeight="1" x14ac:dyDescent="0.2">
      <c r="A70" s="226" t="str">
        <f>A$2</f>
        <v>PERÚ: POBLACIÓN CENSADA INDÍGENA U ORIGINARIA DE LA AMAZONÍA, BLANCA(O), MESTIZA(O) Y OTRA(O) EN EDAD DE TRABAJAR DE 14 Y MÁS AÑOS DE EDAD, POR ÁREA DE RESIDENCIA, SEGÚN GRUPO DE EDAD Y DEPARTAMENTO, 2017</v>
      </c>
      <c r="B70" s="226"/>
      <c r="C70" s="226"/>
      <c r="D70" s="226"/>
      <c r="E70" s="226"/>
      <c r="F70" s="226"/>
      <c r="G70" s="226"/>
    </row>
    <row r="71" spans="1:7" ht="12.75" customHeight="1" x14ac:dyDescent="0.25">
      <c r="A71" s="236" t="str">
        <f>A$3</f>
        <v>(Cifras absolutas)</v>
      </c>
      <c r="B71" s="236"/>
      <c r="C71" s="236"/>
      <c r="D71" s="236"/>
      <c r="E71" s="236"/>
      <c r="F71" s="236"/>
      <c r="G71" s="236"/>
    </row>
    <row r="72" spans="1:7" ht="10.5" customHeight="1" thickBot="1" x14ac:dyDescent="0.3">
      <c r="A72" s="52"/>
      <c r="B72" s="52"/>
      <c r="C72" s="52"/>
      <c r="D72" s="52"/>
      <c r="E72" s="52"/>
      <c r="F72" s="52"/>
      <c r="G72" s="52"/>
    </row>
    <row r="73" spans="1:7" ht="12.75" customHeight="1" thickBot="1" x14ac:dyDescent="0.25">
      <c r="A73" s="223" t="str">
        <f>A$5</f>
        <v>Grupo de edad / Departamento</v>
      </c>
      <c r="B73" s="237" t="str">
        <f>B$5</f>
        <v>Indígena u originaria de la Amazonía</v>
      </c>
      <c r="C73" s="238"/>
      <c r="D73" s="239"/>
      <c r="E73" s="211" t="s">
        <v>116</v>
      </c>
      <c r="F73" s="211"/>
      <c r="G73" s="212"/>
    </row>
    <row r="74" spans="1:7" ht="12.75" customHeight="1" thickBot="1" x14ac:dyDescent="0.25">
      <c r="A74" s="224"/>
      <c r="B74" s="200" t="str">
        <f>B$6</f>
        <v>Total</v>
      </c>
      <c r="C74" s="156" t="str">
        <f t="shared" ref="C74:G74" si="10">C$6</f>
        <v>Área urbana</v>
      </c>
      <c r="D74" s="201" t="str">
        <f t="shared" si="10"/>
        <v>Área rural</v>
      </c>
      <c r="E74" s="200" t="str">
        <f t="shared" si="10"/>
        <v>Total</v>
      </c>
      <c r="F74" s="156" t="str">
        <f t="shared" si="10"/>
        <v>Área urbana</v>
      </c>
      <c r="G74" s="201" t="str">
        <f t="shared" si="10"/>
        <v>Área rural</v>
      </c>
    </row>
    <row r="75" spans="1:7" ht="3.75" customHeight="1" x14ac:dyDescent="0.25">
      <c r="A75" s="129"/>
      <c r="B75" s="149"/>
      <c r="C75" s="150"/>
      <c r="D75" s="150"/>
      <c r="E75" s="190"/>
      <c r="F75" s="190"/>
      <c r="G75" s="191"/>
    </row>
    <row r="76" spans="1:7" s="37" customFormat="1" ht="10.5" customHeight="1" x14ac:dyDescent="0.25">
      <c r="A76" s="130" t="s">
        <v>26</v>
      </c>
      <c r="B76" s="181">
        <f>SUM(B77:B80)</f>
        <v>2064</v>
      </c>
      <c r="C76" s="181">
        <f t="shared" ref="C76:D76" si="11">SUM(C77:C80)</f>
        <v>621</v>
      </c>
      <c r="D76" s="181">
        <f t="shared" si="11"/>
        <v>1443</v>
      </c>
      <c r="E76" s="181">
        <v>280611</v>
      </c>
      <c r="F76" s="181">
        <v>177936</v>
      </c>
      <c r="G76" s="181">
        <v>102675</v>
      </c>
    </row>
    <row r="77" spans="1:7" s="37" customFormat="1" ht="10.5" customHeight="1" x14ac:dyDescent="0.25">
      <c r="A77" s="192" t="s">
        <v>84</v>
      </c>
      <c r="B77" s="15">
        <v>849</v>
      </c>
      <c r="C77" s="15">
        <v>271</v>
      </c>
      <c r="D77" s="15">
        <v>578</v>
      </c>
      <c r="E77" s="15">
        <v>111927</v>
      </c>
      <c r="F77" s="15">
        <v>71402</v>
      </c>
      <c r="G77" s="15">
        <v>40525</v>
      </c>
    </row>
    <row r="78" spans="1:7" s="37" customFormat="1" ht="10.5" customHeight="1" x14ac:dyDescent="0.25">
      <c r="A78" s="192" t="s">
        <v>2</v>
      </c>
      <c r="B78" s="15">
        <v>667</v>
      </c>
      <c r="C78" s="15">
        <v>211</v>
      </c>
      <c r="D78" s="15">
        <v>456</v>
      </c>
      <c r="E78" s="15">
        <v>77799</v>
      </c>
      <c r="F78" s="15">
        <v>49882</v>
      </c>
      <c r="G78" s="15">
        <v>27917</v>
      </c>
    </row>
    <row r="79" spans="1:7" s="37" customFormat="1" ht="10.5" customHeight="1" x14ac:dyDescent="0.25">
      <c r="A79" s="192" t="s">
        <v>85</v>
      </c>
      <c r="B79" s="15">
        <v>382</v>
      </c>
      <c r="C79" s="15">
        <v>105</v>
      </c>
      <c r="D79" s="15">
        <v>277</v>
      </c>
      <c r="E79" s="15">
        <v>53108</v>
      </c>
      <c r="F79" s="15">
        <v>33738</v>
      </c>
      <c r="G79" s="15">
        <v>19370</v>
      </c>
    </row>
    <row r="80" spans="1:7" s="37" customFormat="1" ht="10.5" customHeight="1" x14ac:dyDescent="0.25">
      <c r="A80" s="192" t="s">
        <v>0</v>
      </c>
      <c r="B80" s="15">
        <v>166</v>
      </c>
      <c r="C80" s="15">
        <v>34</v>
      </c>
      <c r="D80" s="15">
        <v>132</v>
      </c>
      <c r="E80" s="15">
        <v>37777</v>
      </c>
      <c r="F80" s="15">
        <v>22914</v>
      </c>
      <c r="G80" s="15">
        <v>14863</v>
      </c>
    </row>
    <row r="81" spans="1:7" s="37" customFormat="1" ht="10.5" customHeight="1" x14ac:dyDescent="0.25">
      <c r="A81" s="159"/>
      <c r="B81" s="103"/>
      <c r="C81" s="103"/>
      <c r="D81" s="103"/>
      <c r="E81" s="103"/>
      <c r="F81" s="103"/>
      <c r="G81" s="103"/>
    </row>
    <row r="82" spans="1:7" s="37" customFormat="1" ht="10.5" customHeight="1" x14ac:dyDescent="0.25">
      <c r="A82" s="130" t="s">
        <v>25</v>
      </c>
      <c r="B82" s="181">
        <f>SUM(B83:B86)</f>
        <v>808</v>
      </c>
      <c r="C82" s="181">
        <f t="shared" ref="C82:D82" si="12">SUM(C83:C86)</f>
        <v>736</v>
      </c>
      <c r="D82" s="181">
        <f t="shared" si="12"/>
        <v>72</v>
      </c>
      <c r="E82" s="181">
        <v>504969</v>
      </c>
      <c r="F82" s="181">
        <v>466492</v>
      </c>
      <c r="G82" s="181">
        <v>38477</v>
      </c>
    </row>
    <row r="83" spans="1:7" s="37" customFormat="1" ht="10.5" customHeight="1" x14ac:dyDescent="0.25">
      <c r="A83" s="192" t="s">
        <v>84</v>
      </c>
      <c r="B83" s="15">
        <v>410</v>
      </c>
      <c r="C83" s="15">
        <v>366</v>
      </c>
      <c r="D83" s="15">
        <v>44</v>
      </c>
      <c r="E83" s="15">
        <v>181637</v>
      </c>
      <c r="F83" s="15">
        <v>169141</v>
      </c>
      <c r="G83" s="15">
        <v>12496</v>
      </c>
    </row>
    <row r="84" spans="1:7" s="37" customFormat="1" ht="10.5" customHeight="1" x14ac:dyDescent="0.25">
      <c r="A84" s="192" t="s">
        <v>2</v>
      </c>
      <c r="B84" s="15">
        <v>259</v>
      </c>
      <c r="C84" s="15">
        <v>241</v>
      </c>
      <c r="D84" s="15">
        <v>18</v>
      </c>
      <c r="E84" s="15">
        <v>142287</v>
      </c>
      <c r="F84" s="15">
        <v>131290</v>
      </c>
      <c r="G84" s="15">
        <v>10997</v>
      </c>
    </row>
    <row r="85" spans="1:7" s="37" customFormat="1" ht="10.5" customHeight="1" x14ac:dyDescent="0.25">
      <c r="A85" s="192" t="s">
        <v>85</v>
      </c>
      <c r="B85" s="15">
        <v>100</v>
      </c>
      <c r="C85" s="15">
        <v>91</v>
      </c>
      <c r="D85" s="15">
        <v>9</v>
      </c>
      <c r="E85" s="15">
        <v>101543</v>
      </c>
      <c r="F85" s="15">
        <v>93646</v>
      </c>
      <c r="G85" s="15">
        <v>7897</v>
      </c>
    </row>
    <row r="86" spans="1:7" s="37" customFormat="1" ht="10.5" customHeight="1" x14ac:dyDescent="0.25">
      <c r="A86" s="192" t="s">
        <v>0</v>
      </c>
      <c r="B86" s="15">
        <v>39</v>
      </c>
      <c r="C86" s="15">
        <v>38</v>
      </c>
      <c r="D86" s="15">
        <v>1</v>
      </c>
      <c r="E86" s="15">
        <v>79502</v>
      </c>
      <c r="F86" s="15">
        <v>72415</v>
      </c>
      <c r="G86" s="15">
        <v>7087</v>
      </c>
    </row>
    <row r="87" spans="1:7" s="37" customFormat="1" ht="10.5" customHeight="1" x14ac:dyDescent="0.25">
      <c r="A87" s="192"/>
      <c r="B87" s="103"/>
      <c r="C87" s="103"/>
      <c r="D87" s="103"/>
      <c r="E87" s="103"/>
      <c r="F87" s="103"/>
      <c r="G87" s="103"/>
    </row>
    <row r="88" spans="1:7" s="37" customFormat="1" ht="10.5" customHeight="1" x14ac:dyDescent="0.25">
      <c r="A88" s="130" t="s">
        <v>24</v>
      </c>
      <c r="B88" s="181">
        <f>SUM(B89:B92)</f>
        <v>32683</v>
      </c>
      <c r="C88" s="181">
        <f t="shared" ref="C88:D88" si="13">SUM(C89:C92)</f>
        <v>3300</v>
      </c>
      <c r="D88" s="181">
        <f t="shared" si="13"/>
        <v>29383</v>
      </c>
      <c r="E88" s="181">
        <v>550718</v>
      </c>
      <c r="F88" s="181">
        <v>422882</v>
      </c>
      <c r="G88" s="181">
        <v>127836</v>
      </c>
    </row>
    <row r="89" spans="1:7" s="37" customFormat="1" ht="10.5" customHeight="1" x14ac:dyDescent="0.25">
      <c r="A89" s="192" t="s">
        <v>84</v>
      </c>
      <c r="B89" s="15">
        <v>16085</v>
      </c>
      <c r="C89" s="15">
        <v>1547</v>
      </c>
      <c r="D89" s="15">
        <v>14538</v>
      </c>
      <c r="E89" s="15">
        <v>213662</v>
      </c>
      <c r="F89" s="15">
        <v>163865</v>
      </c>
      <c r="G89" s="15">
        <v>49797</v>
      </c>
    </row>
    <row r="90" spans="1:7" s="37" customFormat="1" ht="10.5" customHeight="1" x14ac:dyDescent="0.25">
      <c r="A90" s="192" t="s">
        <v>2</v>
      </c>
      <c r="B90" s="15">
        <v>9806</v>
      </c>
      <c r="C90" s="15">
        <v>1043</v>
      </c>
      <c r="D90" s="15">
        <v>8763</v>
      </c>
      <c r="E90" s="15">
        <v>149154</v>
      </c>
      <c r="F90" s="15">
        <v>115476</v>
      </c>
      <c r="G90" s="15">
        <v>33678</v>
      </c>
    </row>
    <row r="91" spans="1:7" s="37" customFormat="1" ht="10.5" customHeight="1" x14ac:dyDescent="0.25">
      <c r="A91" s="192" t="s">
        <v>85</v>
      </c>
      <c r="B91" s="15">
        <v>5007</v>
      </c>
      <c r="C91" s="15">
        <v>484</v>
      </c>
      <c r="D91" s="15">
        <v>4523</v>
      </c>
      <c r="E91" s="15">
        <v>105496</v>
      </c>
      <c r="F91" s="15">
        <v>81730</v>
      </c>
      <c r="G91" s="15">
        <v>23766</v>
      </c>
    </row>
    <row r="92" spans="1:7" s="37" customFormat="1" ht="10.5" customHeight="1" x14ac:dyDescent="0.25">
      <c r="A92" s="192" t="s">
        <v>0</v>
      </c>
      <c r="B92" s="15">
        <v>1785</v>
      </c>
      <c r="C92" s="15">
        <v>226</v>
      </c>
      <c r="D92" s="15">
        <v>1559</v>
      </c>
      <c r="E92" s="15">
        <v>82406</v>
      </c>
      <c r="F92" s="15">
        <v>61811</v>
      </c>
      <c r="G92" s="15">
        <v>20595</v>
      </c>
    </row>
    <row r="93" spans="1:7" s="37" customFormat="1" ht="10.5" customHeight="1" x14ac:dyDescent="0.25">
      <c r="A93" s="133"/>
      <c r="B93" s="103"/>
      <c r="C93" s="103"/>
      <c r="D93" s="103"/>
      <c r="E93" s="103"/>
      <c r="F93" s="103"/>
      <c r="G93" s="103"/>
    </row>
    <row r="94" spans="1:7" s="37" customFormat="1" ht="10.5" customHeight="1" x14ac:dyDescent="0.25">
      <c r="A94" s="130" t="s">
        <v>23</v>
      </c>
      <c r="B94" s="181">
        <f>SUM(B95:B98)</f>
        <v>793</v>
      </c>
      <c r="C94" s="181">
        <f t="shared" ref="C94:D94" si="14">SUM(C95:C98)</f>
        <v>775</v>
      </c>
      <c r="D94" s="181">
        <f t="shared" si="14"/>
        <v>18</v>
      </c>
      <c r="E94" s="181">
        <v>1174046</v>
      </c>
      <c r="F94" s="181">
        <v>943405</v>
      </c>
      <c r="G94" s="181">
        <v>230641</v>
      </c>
    </row>
    <row r="95" spans="1:7" s="37" customFormat="1" ht="10.5" customHeight="1" x14ac:dyDescent="0.25">
      <c r="A95" s="192" t="s">
        <v>84</v>
      </c>
      <c r="B95" s="15">
        <v>370</v>
      </c>
      <c r="C95" s="15">
        <v>362</v>
      </c>
      <c r="D95" s="15">
        <v>8</v>
      </c>
      <c r="E95" s="15">
        <v>422548</v>
      </c>
      <c r="F95" s="15">
        <v>338450</v>
      </c>
      <c r="G95" s="15">
        <v>84098</v>
      </c>
    </row>
    <row r="96" spans="1:7" s="37" customFormat="1" ht="10.5" customHeight="1" x14ac:dyDescent="0.25">
      <c r="A96" s="192" t="s">
        <v>2</v>
      </c>
      <c r="B96" s="15">
        <v>263</v>
      </c>
      <c r="C96" s="15">
        <v>253</v>
      </c>
      <c r="D96" s="15">
        <v>10</v>
      </c>
      <c r="E96" s="15">
        <v>320970</v>
      </c>
      <c r="F96" s="15">
        <v>259033</v>
      </c>
      <c r="G96" s="15">
        <v>61937</v>
      </c>
    </row>
    <row r="97" spans="1:7" s="37" customFormat="1" ht="10.5" customHeight="1" x14ac:dyDescent="0.25">
      <c r="A97" s="192" t="s">
        <v>85</v>
      </c>
      <c r="B97" s="15">
        <v>114</v>
      </c>
      <c r="C97" s="15">
        <v>114</v>
      </c>
      <c r="D97" s="15">
        <v>0</v>
      </c>
      <c r="E97" s="15">
        <v>235985</v>
      </c>
      <c r="F97" s="15">
        <v>191087</v>
      </c>
      <c r="G97" s="15">
        <v>44898</v>
      </c>
    </row>
    <row r="98" spans="1:7" s="37" customFormat="1" ht="10.5" customHeight="1" x14ac:dyDescent="0.25">
      <c r="A98" s="192" t="s">
        <v>0</v>
      </c>
      <c r="B98" s="15">
        <v>46</v>
      </c>
      <c r="C98" s="15">
        <v>46</v>
      </c>
      <c r="D98" s="15">
        <v>0</v>
      </c>
      <c r="E98" s="15">
        <v>194543</v>
      </c>
      <c r="F98" s="15">
        <v>154835</v>
      </c>
      <c r="G98" s="15">
        <v>39708</v>
      </c>
    </row>
    <row r="99" spans="1:7" s="37" customFormat="1" ht="10.5" customHeight="1" x14ac:dyDescent="0.25">
      <c r="A99" s="159"/>
      <c r="B99" s="103"/>
      <c r="C99" s="103"/>
      <c r="D99" s="103"/>
      <c r="E99" s="103"/>
      <c r="F99" s="103"/>
      <c r="G99" s="103"/>
    </row>
    <row r="100" spans="1:7" s="37" customFormat="1" ht="10.5" customHeight="1" x14ac:dyDescent="0.25">
      <c r="A100" s="130" t="s">
        <v>22</v>
      </c>
      <c r="B100" s="181">
        <f>SUM(B101:B104)</f>
        <v>676</v>
      </c>
      <c r="C100" s="181">
        <f t="shared" ref="C100:D100" si="15">SUM(C101:C104)</f>
        <v>661</v>
      </c>
      <c r="D100" s="181">
        <f t="shared" si="15"/>
        <v>15</v>
      </c>
      <c r="E100" s="181">
        <v>777535</v>
      </c>
      <c r="F100" s="181">
        <v>655054</v>
      </c>
      <c r="G100" s="181">
        <v>122481</v>
      </c>
    </row>
    <row r="101" spans="1:7" s="37" customFormat="1" ht="10.5" customHeight="1" x14ac:dyDescent="0.25">
      <c r="A101" s="192" t="s">
        <v>84</v>
      </c>
      <c r="B101" s="15">
        <v>385</v>
      </c>
      <c r="C101" s="15">
        <v>378</v>
      </c>
      <c r="D101" s="15">
        <v>7</v>
      </c>
      <c r="E101" s="15">
        <v>274116</v>
      </c>
      <c r="F101" s="15">
        <v>227217</v>
      </c>
      <c r="G101" s="15">
        <v>46899</v>
      </c>
    </row>
    <row r="102" spans="1:7" s="37" customFormat="1" ht="10.5" customHeight="1" x14ac:dyDescent="0.25">
      <c r="A102" s="192" t="s">
        <v>2</v>
      </c>
      <c r="B102" s="15">
        <v>176</v>
      </c>
      <c r="C102" s="15">
        <v>170</v>
      </c>
      <c r="D102" s="15">
        <v>6</v>
      </c>
      <c r="E102" s="15">
        <v>207566</v>
      </c>
      <c r="F102" s="15">
        <v>174836</v>
      </c>
      <c r="G102" s="15">
        <v>32730</v>
      </c>
    </row>
    <row r="103" spans="1:7" s="37" customFormat="1" ht="10.5" customHeight="1" x14ac:dyDescent="0.25">
      <c r="A103" s="192" t="s">
        <v>85</v>
      </c>
      <c r="B103" s="15">
        <v>81</v>
      </c>
      <c r="C103" s="15">
        <v>79</v>
      </c>
      <c r="D103" s="15">
        <v>2</v>
      </c>
      <c r="E103" s="15">
        <v>162671</v>
      </c>
      <c r="F103" s="15">
        <v>139270</v>
      </c>
      <c r="G103" s="15">
        <v>23401</v>
      </c>
    </row>
    <row r="104" spans="1:7" s="37" customFormat="1" ht="10.5" customHeight="1" x14ac:dyDescent="0.25">
      <c r="A104" s="192" t="s">
        <v>0</v>
      </c>
      <c r="B104" s="15">
        <v>34</v>
      </c>
      <c r="C104" s="15">
        <v>34</v>
      </c>
      <c r="D104" s="15">
        <v>0</v>
      </c>
      <c r="E104" s="15">
        <v>133182</v>
      </c>
      <c r="F104" s="15">
        <v>113731</v>
      </c>
      <c r="G104" s="15">
        <v>19451</v>
      </c>
    </row>
    <row r="105" spans="1:7" s="37" customFormat="1" ht="10.5" customHeight="1" x14ac:dyDescent="0.25">
      <c r="A105" s="159"/>
      <c r="B105" s="177"/>
      <c r="C105" s="177"/>
      <c r="D105" s="177"/>
      <c r="E105" s="28"/>
      <c r="F105" s="28"/>
      <c r="G105" s="103"/>
    </row>
    <row r="106" spans="1:7" s="37" customFormat="1" ht="10.5" customHeight="1" x14ac:dyDescent="0.25">
      <c r="A106" s="130" t="s">
        <v>21</v>
      </c>
      <c r="B106" s="181">
        <f>SUM(B107:B110)</f>
        <v>15159</v>
      </c>
      <c r="C106" s="181">
        <f t="shared" ref="C106:D106" si="16">SUM(C107:C110)</f>
        <v>15106</v>
      </c>
      <c r="D106" s="181">
        <f t="shared" si="16"/>
        <v>53</v>
      </c>
      <c r="E106" s="181">
        <v>5963782</v>
      </c>
      <c r="F106" s="181">
        <v>5866487</v>
      </c>
      <c r="G106" s="181">
        <v>97295</v>
      </c>
    </row>
    <row r="107" spans="1:7" s="37" customFormat="1" ht="10.5" customHeight="1" x14ac:dyDescent="0.25">
      <c r="A107" s="192" t="s">
        <v>84</v>
      </c>
      <c r="B107" s="15">
        <v>6532</v>
      </c>
      <c r="C107" s="15">
        <v>6507</v>
      </c>
      <c r="D107" s="15">
        <v>25</v>
      </c>
      <c r="E107" s="15">
        <v>2083887</v>
      </c>
      <c r="F107" s="15">
        <v>2054481</v>
      </c>
      <c r="G107" s="15">
        <v>29406</v>
      </c>
    </row>
    <row r="108" spans="1:7" s="37" customFormat="1" ht="10.5" customHeight="1" x14ac:dyDescent="0.25">
      <c r="A108" s="192" t="s">
        <v>2</v>
      </c>
      <c r="B108" s="15">
        <v>5041</v>
      </c>
      <c r="C108" s="15">
        <v>5019</v>
      </c>
      <c r="D108" s="15">
        <v>22</v>
      </c>
      <c r="E108" s="15">
        <v>1700063</v>
      </c>
      <c r="F108" s="15">
        <v>1674079</v>
      </c>
      <c r="G108" s="15">
        <v>25984</v>
      </c>
    </row>
    <row r="109" spans="1:7" s="37" customFormat="1" ht="10.5" customHeight="1" x14ac:dyDescent="0.25">
      <c r="A109" s="192" t="s">
        <v>85</v>
      </c>
      <c r="B109" s="15">
        <v>2310</v>
      </c>
      <c r="C109" s="15">
        <v>2306</v>
      </c>
      <c r="D109" s="15">
        <v>4</v>
      </c>
      <c r="E109" s="15">
        <v>1215293</v>
      </c>
      <c r="F109" s="15">
        <v>1194427</v>
      </c>
      <c r="G109" s="15">
        <v>20866</v>
      </c>
    </row>
    <row r="110" spans="1:7" s="37" customFormat="1" ht="10.5" customHeight="1" x14ac:dyDescent="0.25">
      <c r="A110" s="192" t="s">
        <v>0</v>
      </c>
      <c r="B110" s="15">
        <v>1276</v>
      </c>
      <c r="C110" s="15">
        <v>1274</v>
      </c>
      <c r="D110" s="15">
        <v>2</v>
      </c>
      <c r="E110" s="15">
        <v>964539</v>
      </c>
      <c r="F110" s="15">
        <v>943500</v>
      </c>
      <c r="G110" s="15">
        <v>21039</v>
      </c>
    </row>
    <row r="111" spans="1:7" s="37" customFormat="1" ht="10.5" customHeight="1" x14ac:dyDescent="0.25">
      <c r="A111" s="159"/>
      <c r="B111" s="103"/>
      <c r="C111" s="103"/>
      <c r="D111" s="103"/>
      <c r="E111" s="103"/>
      <c r="F111" s="103"/>
      <c r="G111" s="103"/>
    </row>
    <row r="112" spans="1:7" s="37" customFormat="1" ht="10.5" customHeight="1" x14ac:dyDescent="0.25">
      <c r="A112" s="130" t="s">
        <v>20</v>
      </c>
      <c r="B112" s="181">
        <f>SUM(B113:B116)</f>
        <v>47134</v>
      </c>
      <c r="C112" s="181">
        <f t="shared" ref="C112:D112" si="17">SUM(C113:C116)</f>
        <v>8605</v>
      </c>
      <c r="D112" s="181">
        <f t="shared" si="17"/>
        <v>38529</v>
      </c>
      <c r="E112" s="181">
        <v>498774</v>
      </c>
      <c r="F112" s="181">
        <v>390885</v>
      </c>
      <c r="G112" s="181">
        <v>107889</v>
      </c>
    </row>
    <row r="113" spans="1:7" s="37" customFormat="1" ht="10.5" customHeight="1" x14ac:dyDescent="0.25">
      <c r="A113" s="192" t="s">
        <v>84</v>
      </c>
      <c r="B113" s="15">
        <v>21288</v>
      </c>
      <c r="C113" s="15">
        <v>3348</v>
      </c>
      <c r="D113" s="15">
        <v>17940</v>
      </c>
      <c r="E113" s="15">
        <v>188956</v>
      </c>
      <c r="F113" s="15">
        <v>147133</v>
      </c>
      <c r="G113" s="15">
        <v>41823</v>
      </c>
    </row>
    <row r="114" spans="1:7" s="37" customFormat="1" ht="10.5" customHeight="1" x14ac:dyDescent="0.25">
      <c r="A114" s="192" t="s">
        <v>2</v>
      </c>
      <c r="B114" s="15">
        <v>13791</v>
      </c>
      <c r="C114" s="15">
        <v>2469</v>
      </c>
      <c r="D114" s="15">
        <v>11322</v>
      </c>
      <c r="E114" s="15">
        <v>142793</v>
      </c>
      <c r="F114" s="15">
        <v>111489</v>
      </c>
      <c r="G114" s="15">
        <v>31304</v>
      </c>
    </row>
    <row r="115" spans="1:7" s="37" customFormat="1" ht="10.5" customHeight="1" x14ac:dyDescent="0.25">
      <c r="A115" s="192" t="s">
        <v>85</v>
      </c>
      <c r="B115" s="15">
        <v>7908</v>
      </c>
      <c r="C115" s="15">
        <v>1625</v>
      </c>
      <c r="D115" s="15">
        <v>6283</v>
      </c>
      <c r="E115" s="15">
        <v>97935</v>
      </c>
      <c r="F115" s="15">
        <v>77301</v>
      </c>
      <c r="G115" s="15">
        <v>20634</v>
      </c>
    </row>
    <row r="116" spans="1:7" s="37" customFormat="1" ht="10.5" customHeight="1" x14ac:dyDescent="0.25">
      <c r="A116" s="192" t="s">
        <v>0</v>
      </c>
      <c r="B116" s="15">
        <v>4147</v>
      </c>
      <c r="C116" s="15">
        <v>1163</v>
      </c>
      <c r="D116" s="15">
        <v>2984</v>
      </c>
      <c r="E116" s="15">
        <v>69090</v>
      </c>
      <c r="F116" s="15">
        <v>54962</v>
      </c>
      <c r="G116" s="15">
        <v>14128</v>
      </c>
    </row>
    <row r="117" spans="1:7" s="37" customFormat="1" ht="10.5" customHeight="1" x14ac:dyDescent="0.25">
      <c r="A117" s="159"/>
      <c r="B117" s="103"/>
      <c r="C117" s="103"/>
      <c r="D117" s="103"/>
      <c r="E117" s="103"/>
      <c r="F117" s="103"/>
      <c r="G117" s="103"/>
    </row>
    <row r="118" spans="1:7" s="37" customFormat="1" ht="10.5" customHeight="1" x14ac:dyDescent="0.25">
      <c r="A118" s="137" t="s">
        <v>19</v>
      </c>
      <c r="B118" s="181">
        <f>SUM(B119:B122)</f>
        <v>3244</v>
      </c>
      <c r="C118" s="181">
        <f t="shared" ref="C118:D118" si="18">SUM(C119:C122)</f>
        <v>1366</v>
      </c>
      <c r="D118" s="181">
        <f t="shared" si="18"/>
        <v>1878</v>
      </c>
      <c r="E118" s="181">
        <v>56567</v>
      </c>
      <c r="F118" s="181">
        <v>47867</v>
      </c>
      <c r="G118" s="181">
        <v>8700</v>
      </c>
    </row>
    <row r="119" spans="1:7" s="37" customFormat="1" ht="10.5" customHeight="1" x14ac:dyDescent="0.25">
      <c r="A119" s="192" t="s">
        <v>84</v>
      </c>
      <c r="B119" s="15">
        <v>1395</v>
      </c>
      <c r="C119" s="15">
        <v>619</v>
      </c>
      <c r="D119" s="15">
        <v>776</v>
      </c>
      <c r="E119" s="15">
        <v>24151</v>
      </c>
      <c r="F119" s="15">
        <v>20560</v>
      </c>
      <c r="G119" s="15">
        <v>3591</v>
      </c>
    </row>
    <row r="120" spans="1:7" s="37" customFormat="1" ht="10.5" customHeight="1" x14ac:dyDescent="0.25">
      <c r="A120" s="192" t="s">
        <v>2</v>
      </c>
      <c r="B120" s="15">
        <v>975</v>
      </c>
      <c r="C120" s="15">
        <v>436</v>
      </c>
      <c r="D120" s="15">
        <v>539</v>
      </c>
      <c r="E120" s="15">
        <v>17479</v>
      </c>
      <c r="F120" s="15">
        <v>14792</v>
      </c>
      <c r="G120" s="15">
        <v>2687</v>
      </c>
    </row>
    <row r="121" spans="1:7" s="37" customFormat="1" ht="10.5" customHeight="1" x14ac:dyDescent="0.25">
      <c r="A121" s="192" t="s">
        <v>85</v>
      </c>
      <c r="B121" s="15">
        <v>575</v>
      </c>
      <c r="C121" s="15">
        <v>214</v>
      </c>
      <c r="D121" s="15">
        <v>361</v>
      </c>
      <c r="E121" s="15">
        <v>10255</v>
      </c>
      <c r="F121" s="15">
        <v>8573</v>
      </c>
      <c r="G121" s="15">
        <v>1682</v>
      </c>
    </row>
    <row r="122" spans="1:7" s="37" customFormat="1" ht="10.5" customHeight="1" x14ac:dyDescent="0.25">
      <c r="A122" s="192" t="s">
        <v>0</v>
      </c>
      <c r="B122" s="15">
        <v>299</v>
      </c>
      <c r="C122" s="15">
        <v>97</v>
      </c>
      <c r="D122" s="15">
        <v>202</v>
      </c>
      <c r="E122" s="15">
        <v>4682</v>
      </c>
      <c r="F122" s="15">
        <v>3942</v>
      </c>
      <c r="G122" s="15">
        <v>740</v>
      </c>
    </row>
    <row r="123" spans="1:7" s="37" customFormat="1" ht="10.5" customHeight="1" x14ac:dyDescent="0.25">
      <c r="A123" s="192"/>
      <c r="B123" s="7"/>
      <c r="C123" s="7"/>
      <c r="D123" s="6"/>
      <c r="E123" s="28"/>
      <c r="F123" s="28"/>
      <c r="G123" s="28"/>
    </row>
    <row r="124" spans="1:7" s="37" customFormat="1" ht="10.5" customHeight="1" x14ac:dyDescent="0.25">
      <c r="A124" s="130" t="s">
        <v>12</v>
      </c>
      <c r="B124" s="181">
        <f>SUM(B125:B128)</f>
        <v>123</v>
      </c>
      <c r="C124" s="181">
        <f t="shared" ref="C124:D124" si="19">SUM(C125:C128)</f>
        <v>114</v>
      </c>
      <c r="D124" s="181">
        <f t="shared" si="19"/>
        <v>9</v>
      </c>
      <c r="E124" s="181">
        <v>82188</v>
      </c>
      <c r="F124" s="181">
        <v>74759</v>
      </c>
      <c r="G124" s="181">
        <v>7429</v>
      </c>
    </row>
    <row r="125" spans="1:7" s="37" customFormat="1" ht="10.5" customHeight="1" x14ac:dyDescent="0.25">
      <c r="A125" s="192" t="s">
        <v>84</v>
      </c>
      <c r="B125" s="15">
        <v>37</v>
      </c>
      <c r="C125" s="15">
        <v>33</v>
      </c>
      <c r="D125" s="15">
        <v>4</v>
      </c>
      <c r="E125" s="15">
        <v>27890</v>
      </c>
      <c r="F125" s="15">
        <v>26131</v>
      </c>
      <c r="G125" s="15">
        <v>1759</v>
      </c>
    </row>
    <row r="126" spans="1:7" s="37" customFormat="1" ht="10.5" customHeight="1" x14ac:dyDescent="0.25">
      <c r="A126" s="192" t="s">
        <v>2</v>
      </c>
      <c r="B126" s="15">
        <v>54</v>
      </c>
      <c r="C126" s="15">
        <v>51</v>
      </c>
      <c r="D126" s="15">
        <v>3</v>
      </c>
      <c r="E126" s="15">
        <v>23394</v>
      </c>
      <c r="F126" s="15">
        <v>21408</v>
      </c>
      <c r="G126" s="15">
        <v>1986</v>
      </c>
    </row>
    <row r="127" spans="1:7" s="37" customFormat="1" ht="10.5" customHeight="1" x14ac:dyDescent="0.25">
      <c r="A127" s="192" t="s">
        <v>85</v>
      </c>
      <c r="B127" s="15">
        <v>24</v>
      </c>
      <c r="C127" s="15">
        <v>22</v>
      </c>
      <c r="D127" s="15">
        <v>2</v>
      </c>
      <c r="E127" s="15">
        <v>17539</v>
      </c>
      <c r="F127" s="15">
        <v>15785</v>
      </c>
      <c r="G127" s="15">
        <v>1754</v>
      </c>
    </row>
    <row r="128" spans="1:7" s="37" customFormat="1" ht="10.5" customHeight="1" x14ac:dyDescent="0.25">
      <c r="A128" s="192" t="s">
        <v>0</v>
      </c>
      <c r="B128" s="15">
        <v>8</v>
      </c>
      <c r="C128" s="15">
        <v>8</v>
      </c>
      <c r="D128" s="15">
        <v>0</v>
      </c>
      <c r="E128" s="15">
        <v>13365</v>
      </c>
      <c r="F128" s="15">
        <v>11435</v>
      </c>
      <c r="G128" s="15">
        <v>1930</v>
      </c>
    </row>
    <row r="129" spans="1:7" s="37" customFormat="1" ht="10.5" customHeight="1" x14ac:dyDescent="0.25">
      <c r="A129" s="159"/>
      <c r="B129" s="103"/>
      <c r="C129" s="103"/>
      <c r="D129" s="103"/>
      <c r="E129" s="103"/>
      <c r="F129" s="103"/>
      <c r="G129" s="103"/>
    </row>
    <row r="130" spans="1:7" s="37" customFormat="1" ht="10.5" customHeight="1" x14ac:dyDescent="0.25">
      <c r="A130" s="130" t="s">
        <v>11</v>
      </c>
      <c r="B130" s="181">
        <f t="shared" ref="B130:D130" si="20">SUM(B131:B134)</f>
        <v>11246</v>
      </c>
      <c r="C130" s="181">
        <f t="shared" si="20"/>
        <v>1714</v>
      </c>
      <c r="D130" s="181">
        <f t="shared" si="20"/>
        <v>9532</v>
      </c>
      <c r="E130" s="181">
        <v>101948</v>
      </c>
      <c r="F130" s="181">
        <v>72295</v>
      </c>
      <c r="G130" s="181">
        <v>29653</v>
      </c>
    </row>
    <row r="131" spans="1:7" s="37" customFormat="1" ht="10.5" customHeight="1" x14ac:dyDescent="0.25">
      <c r="A131" s="192" t="s">
        <v>84</v>
      </c>
      <c r="B131" s="15">
        <v>4645</v>
      </c>
      <c r="C131" s="15">
        <v>750</v>
      </c>
      <c r="D131" s="15">
        <v>3895</v>
      </c>
      <c r="E131" s="15">
        <v>39901</v>
      </c>
      <c r="F131" s="15">
        <v>28419</v>
      </c>
      <c r="G131" s="15">
        <v>11482</v>
      </c>
    </row>
    <row r="132" spans="1:7" s="37" customFormat="1" ht="10.5" customHeight="1" x14ac:dyDescent="0.25">
      <c r="A132" s="192" t="s">
        <v>2</v>
      </c>
      <c r="B132" s="15">
        <v>3512</v>
      </c>
      <c r="C132" s="15">
        <v>558</v>
      </c>
      <c r="D132" s="15">
        <v>2954</v>
      </c>
      <c r="E132" s="15">
        <v>30367</v>
      </c>
      <c r="F132" s="15">
        <v>21548</v>
      </c>
      <c r="G132" s="15">
        <v>8819</v>
      </c>
    </row>
    <row r="133" spans="1:7" s="37" customFormat="1" ht="10.5" customHeight="1" x14ac:dyDescent="0.25">
      <c r="A133" s="192" t="s">
        <v>85</v>
      </c>
      <c r="B133" s="15">
        <v>2067</v>
      </c>
      <c r="C133" s="15">
        <v>286</v>
      </c>
      <c r="D133" s="15">
        <v>1781</v>
      </c>
      <c r="E133" s="15">
        <v>19581</v>
      </c>
      <c r="F133" s="15">
        <v>13947</v>
      </c>
      <c r="G133" s="15">
        <v>5634</v>
      </c>
    </row>
    <row r="134" spans="1:7" s="37" customFormat="1" ht="10.5" customHeight="1" x14ac:dyDescent="0.25">
      <c r="A134" s="192" t="s">
        <v>0</v>
      </c>
      <c r="B134" s="15">
        <v>1022</v>
      </c>
      <c r="C134" s="15">
        <v>120</v>
      </c>
      <c r="D134" s="15">
        <v>902</v>
      </c>
      <c r="E134" s="15">
        <v>12099</v>
      </c>
      <c r="F134" s="15">
        <v>8381</v>
      </c>
      <c r="G134" s="15">
        <v>3718</v>
      </c>
    </row>
    <row r="135" spans="1:7" s="37" customFormat="1" ht="3.75" customHeight="1" thickBot="1" x14ac:dyDescent="0.3">
      <c r="A135" s="194"/>
      <c r="B135" s="195"/>
      <c r="C135" s="195"/>
      <c r="D135" s="196"/>
      <c r="E135" s="197"/>
      <c r="F135" s="197"/>
      <c r="G135" s="197"/>
    </row>
    <row r="136" spans="1:7" s="37" customFormat="1" ht="10.5" customHeight="1" x14ac:dyDescent="0.25">
      <c r="A136" s="198"/>
      <c r="B136" s="39"/>
      <c r="C136" s="39"/>
      <c r="D136" s="38"/>
      <c r="E136" s="40"/>
      <c r="F136" s="40"/>
      <c r="G136" s="39" t="s">
        <v>83</v>
      </c>
    </row>
    <row r="137" spans="1:7" ht="12.75" customHeight="1" x14ac:dyDescent="0.2">
      <c r="A137" s="222" t="str">
        <f>A$1</f>
        <v>CUADRO Nº 2.12</v>
      </c>
      <c r="B137" s="222"/>
      <c r="C137" s="222"/>
      <c r="D137" s="222"/>
      <c r="E137" s="222"/>
      <c r="F137" s="222"/>
      <c r="G137" s="222"/>
    </row>
    <row r="138" spans="1:7" ht="20.25" customHeight="1" x14ac:dyDescent="0.2">
      <c r="A138" s="226" t="str">
        <f>A$2</f>
        <v>PERÚ: POBLACIÓN CENSADA INDÍGENA U ORIGINARIA DE LA AMAZONÍA, BLANCA(O), MESTIZA(O) Y OTRA(O) EN EDAD DE TRABAJAR DE 14 Y MÁS AÑOS DE EDAD, POR ÁREA DE RESIDENCIA, SEGÚN GRUPO DE EDAD Y DEPARTAMENTO, 2017</v>
      </c>
      <c r="B138" s="226"/>
      <c r="C138" s="226"/>
      <c r="D138" s="226"/>
      <c r="E138" s="226"/>
      <c r="F138" s="226"/>
      <c r="G138" s="226"/>
    </row>
    <row r="139" spans="1:7" ht="12.75" customHeight="1" x14ac:dyDescent="0.25">
      <c r="A139" s="236" t="str">
        <f>A$3</f>
        <v>(Cifras absolutas)</v>
      </c>
      <c r="B139" s="236"/>
      <c r="C139" s="236"/>
      <c r="D139" s="236"/>
      <c r="E139" s="236"/>
      <c r="F139" s="236"/>
      <c r="G139" s="236"/>
    </row>
    <row r="140" spans="1:7" ht="10.5" customHeight="1" thickBot="1" x14ac:dyDescent="0.3">
      <c r="A140" s="52"/>
      <c r="B140" s="52"/>
      <c r="C140" s="52"/>
      <c r="D140" s="52"/>
      <c r="E140" s="52"/>
      <c r="F140" s="52"/>
      <c r="G140" s="38" t="s">
        <v>16</v>
      </c>
    </row>
    <row r="141" spans="1:7" ht="12.75" customHeight="1" thickBot="1" x14ac:dyDescent="0.25">
      <c r="A141" s="223" t="str">
        <f>A$5</f>
        <v>Grupo de edad / Departamento</v>
      </c>
      <c r="B141" s="237" t="str">
        <f>B$5</f>
        <v>Indígena u originaria de la Amazonía</v>
      </c>
      <c r="C141" s="238"/>
      <c r="D141" s="239"/>
      <c r="E141" s="211" t="s">
        <v>116</v>
      </c>
      <c r="F141" s="211"/>
      <c r="G141" s="212"/>
    </row>
    <row r="142" spans="1:7" ht="12.75" customHeight="1" thickBot="1" x14ac:dyDescent="0.25">
      <c r="A142" s="224"/>
      <c r="B142" s="200" t="str">
        <f>B$6</f>
        <v>Total</v>
      </c>
      <c r="C142" s="156" t="str">
        <f t="shared" ref="C142:G142" si="21">C$6</f>
        <v>Área urbana</v>
      </c>
      <c r="D142" s="201" t="str">
        <f t="shared" si="21"/>
        <v>Área rural</v>
      </c>
      <c r="E142" s="200" t="str">
        <f t="shared" si="21"/>
        <v>Total</v>
      </c>
      <c r="F142" s="156" t="str">
        <f t="shared" si="21"/>
        <v>Área urbana</v>
      </c>
      <c r="G142" s="201" t="str">
        <f t="shared" si="21"/>
        <v>Área rural</v>
      </c>
    </row>
    <row r="143" spans="1:7" ht="3.75" customHeight="1" x14ac:dyDescent="0.25">
      <c r="A143" s="129"/>
      <c r="B143" s="149"/>
      <c r="C143" s="150"/>
      <c r="D143" s="150"/>
      <c r="E143" s="190"/>
      <c r="F143" s="190"/>
      <c r="G143" s="191"/>
    </row>
    <row r="144" spans="1:7" s="37" customFormat="1" ht="10.5" customHeight="1" x14ac:dyDescent="0.25">
      <c r="A144" s="130" t="s">
        <v>10</v>
      </c>
      <c r="B144" s="181">
        <f>SUM(B145:B148)</f>
        <v>413</v>
      </c>
      <c r="C144" s="181">
        <f t="shared" ref="C144:D144" si="22">SUM(C145:C148)</f>
        <v>396</v>
      </c>
      <c r="D144" s="181">
        <f t="shared" si="22"/>
        <v>17</v>
      </c>
      <c r="E144" s="181">
        <v>1184401</v>
      </c>
      <c r="F144" s="181">
        <v>954684</v>
      </c>
      <c r="G144" s="181">
        <v>229717</v>
      </c>
    </row>
    <row r="145" spans="1:7" s="37" customFormat="1" ht="10.5" customHeight="1" x14ac:dyDescent="0.25">
      <c r="A145" s="192" t="s">
        <v>84</v>
      </c>
      <c r="B145" s="15">
        <v>180</v>
      </c>
      <c r="C145" s="15">
        <v>173</v>
      </c>
      <c r="D145" s="15">
        <v>7</v>
      </c>
      <c r="E145" s="15">
        <v>425275</v>
      </c>
      <c r="F145" s="15">
        <v>343822</v>
      </c>
      <c r="G145" s="15">
        <v>81453</v>
      </c>
    </row>
    <row r="146" spans="1:7" s="37" customFormat="1" ht="10.5" customHeight="1" x14ac:dyDescent="0.25">
      <c r="A146" s="192" t="s">
        <v>2</v>
      </c>
      <c r="B146" s="15">
        <v>140</v>
      </c>
      <c r="C146" s="15">
        <v>134</v>
      </c>
      <c r="D146" s="15">
        <v>6</v>
      </c>
      <c r="E146" s="15">
        <v>330022</v>
      </c>
      <c r="F146" s="15">
        <v>270151</v>
      </c>
      <c r="G146" s="15">
        <v>59871</v>
      </c>
    </row>
    <row r="147" spans="1:7" s="37" customFormat="1" ht="10.5" customHeight="1" x14ac:dyDescent="0.25">
      <c r="A147" s="192" t="s">
        <v>85</v>
      </c>
      <c r="B147" s="15">
        <v>61</v>
      </c>
      <c r="C147" s="15">
        <v>58</v>
      </c>
      <c r="D147" s="15">
        <v>3</v>
      </c>
      <c r="E147" s="15">
        <v>243237</v>
      </c>
      <c r="F147" s="15">
        <v>197311</v>
      </c>
      <c r="G147" s="15">
        <v>45926</v>
      </c>
    </row>
    <row r="148" spans="1:7" s="37" customFormat="1" ht="10.5" customHeight="1" x14ac:dyDescent="0.25">
      <c r="A148" s="192" t="s">
        <v>0</v>
      </c>
      <c r="B148" s="15">
        <v>32</v>
      </c>
      <c r="C148" s="15">
        <v>31</v>
      </c>
      <c r="D148" s="15">
        <v>1</v>
      </c>
      <c r="E148" s="15">
        <v>185867</v>
      </c>
      <c r="F148" s="15">
        <v>143400</v>
      </c>
      <c r="G148" s="15">
        <v>42467</v>
      </c>
    </row>
    <row r="149" spans="1:7" s="37" customFormat="1" ht="10.5" customHeight="1" x14ac:dyDescent="0.25">
      <c r="A149" s="159"/>
      <c r="B149" s="103"/>
      <c r="C149" s="103"/>
      <c r="D149" s="103"/>
      <c r="E149" s="103"/>
      <c r="F149" s="103"/>
      <c r="G149" s="103"/>
    </row>
    <row r="150" spans="1:7" s="37" customFormat="1" ht="10.5" customHeight="1" x14ac:dyDescent="0.25">
      <c r="A150" s="130" t="s">
        <v>9</v>
      </c>
      <c r="B150" s="181">
        <f>SUM(B151:B154)</f>
        <v>157</v>
      </c>
      <c r="C150" s="181">
        <f t="shared" ref="C150:D150" si="23">SUM(C151:C154)</f>
        <v>119</v>
      </c>
      <c r="D150" s="181">
        <f t="shared" si="23"/>
        <v>38</v>
      </c>
      <c r="E150" s="181">
        <v>80540</v>
      </c>
      <c r="F150" s="181">
        <v>68588</v>
      </c>
      <c r="G150" s="181">
        <v>11952</v>
      </c>
    </row>
    <row r="151" spans="1:7" s="37" customFormat="1" ht="10.5" customHeight="1" x14ac:dyDescent="0.25">
      <c r="A151" s="192" t="s">
        <v>84</v>
      </c>
      <c r="B151" s="15">
        <v>73</v>
      </c>
      <c r="C151" s="15">
        <v>53</v>
      </c>
      <c r="D151" s="15">
        <v>20</v>
      </c>
      <c r="E151" s="15">
        <v>39707</v>
      </c>
      <c r="F151" s="15">
        <v>33332</v>
      </c>
      <c r="G151" s="15">
        <v>6375</v>
      </c>
    </row>
    <row r="152" spans="1:7" s="37" customFormat="1" ht="10.5" customHeight="1" x14ac:dyDescent="0.25">
      <c r="A152" s="192" t="s">
        <v>2</v>
      </c>
      <c r="B152" s="15">
        <v>59</v>
      </c>
      <c r="C152" s="15">
        <v>44</v>
      </c>
      <c r="D152" s="15">
        <v>15</v>
      </c>
      <c r="E152" s="15">
        <v>20341</v>
      </c>
      <c r="F152" s="15">
        <v>17621</v>
      </c>
      <c r="G152" s="15">
        <v>2720</v>
      </c>
    </row>
    <row r="153" spans="1:7" s="37" customFormat="1" ht="10.5" customHeight="1" x14ac:dyDescent="0.25">
      <c r="A153" s="192" t="s">
        <v>85</v>
      </c>
      <c r="B153" s="15">
        <v>15</v>
      </c>
      <c r="C153" s="15">
        <v>12</v>
      </c>
      <c r="D153" s="15">
        <v>3</v>
      </c>
      <c r="E153" s="15">
        <v>12385</v>
      </c>
      <c r="F153" s="15">
        <v>10788</v>
      </c>
      <c r="G153" s="15">
        <v>1597</v>
      </c>
    </row>
    <row r="154" spans="1:7" s="37" customFormat="1" ht="10.5" customHeight="1" x14ac:dyDescent="0.25">
      <c r="A154" s="192" t="s">
        <v>0</v>
      </c>
      <c r="B154" s="15">
        <v>10</v>
      </c>
      <c r="C154" s="15">
        <v>10</v>
      </c>
      <c r="D154" s="15">
        <v>0</v>
      </c>
      <c r="E154" s="15">
        <v>8107</v>
      </c>
      <c r="F154" s="15">
        <v>6847</v>
      </c>
      <c r="G154" s="15">
        <v>1260</v>
      </c>
    </row>
    <row r="155" spans="1:7" s="37" customFormat="1" ht="10.5" customHeight="1" x14ac:dyDescent="0.25">
      <c r="A155" s="159"/>
      <c r="B155" s="103"/>
      <c r="C155" s="103"/>
      <c r="D155" s="103"/>
      <c r="E155" s="103"/>
      <c r="F155" s="103"/>
      <c r="G155" s="103"/>
    </row>
    <row r="156" spans="1:7" s="37" customFormat="1" ht="10.5" customHeight="1" x14ac:dyDescent="0.25">
      <c r="A156" s="130" t="s">
        <v>8</v>
      </c>
      <c r="B156" s="181">
        <f>SUM(B157:B160)</f>
        <v>4452</v>
      </c>
      <c r="C156" s="181">
        <f t="shared" ref="C156:D156" si="24">SUM(C157:C160)</f>
        <v>1814</v>
      </c>
      <c r="D156" s="181">
        <f t="shared" si="24"/>
        <v>2638</v>
      </c>
      <c r="E156" s="181">
        <v>510087</v>
      </c>
      <c r="F156" s="181">
        <v>361221</v>
      </c>
      <c r="G156" s="181">
        <v>148866</v>
      </c>
    </row>
    <row r="157" spans="1:7" s="37" customFormat="1" ht="10.5" customHeight="1" x14ac:dyDescent="0.25">
      <c r="A157" s="192" t="s">
        <v>84</v>
      </c>
      <c r="B157" s="15">
        <v>1995</v>
      </c>
      <c r="C157" s="15">
        <v>730</v>
      </c>
      <c r="D157" s="15">
        <v>1265</v>
      </c>
      <c r="E157" s="15">
        <v>189157</v>
      </c>
      <c r="F157" s="15">
        <v>132966</v>
      </c>
      <c r="G157" s="15">
        <v>56191</v>
      </c>
    </row>
    <row r="158" spans="1:7" s="37" customFormat="1" ht="10.5" customHeight="1" x14ac:dyDescent="0.25">
      <c r="A158" s="192" t="s">
        <v>2</v>
      </c>
      <c r="B158" s="15">
        <v>1300</v>
      </c>
      <c r="C158" s="15">
        <v>541</v>
      </c>
      <c r="D158" s="15">
        <v>759</v>
      </c>
      <c r="E158" s="15">
        <v>151338</v>
      </c>
      <c r="F158" s="15">
        <v>105571</v>
      </c>
      <c r="G158" s="15">
        <v>45767</v>
      </c>
    </row>
    <row r="159" spans="1:7" s="37" customFormat="1" ht="10.5" customHeight="1" x14ac:dyDescent="0.25">
      <c r="A159" s="192" t="s">
        <v>85</v>
      </c>
      <c r="B159" s="15">
        <v>796</v>
      </c>
      <c r="C159" s="15">
        <v>358</v>
      </c>
      <c r="D159" s="15">
        <v>438</v>
      </c>
      <c r="E159" s="15">
        <v>104101</v>
      </c>
      <c r="F159" s="15">
        <v>75064</v>
      </c>
      <c r="G159" s="15">
        <v>29037</v>
      </c>
    </row>
    <row r="160" spans="1:7" s="37" customFormat="1" ht="10.5" customHeight="1" x14ac:dyDescent="0.25">
      <c r="A160" s="192" t="s">
        <v>0</v>
      </c>
      <c r="B160" s="15">
        <v>361</v>
      </c>
      <c r="C160" s="15">
        <v>185</v>
      </c>
      <c r="D160" s="15">
        <v>176</v>
      </c>
      <c r="E160" s="15">
        <v>65491</v>
      </c>
      <c r="F160" s="15">
        <v>47620</v>
      </c>
      <c r="G160" s="15">
        <v>17871</v>
      </c>
    </row>
    <row r="161" spans="1:7" s="37" customFormat="1" ht="10.5" customHeight="1" x14ac:dyDescent="0.25">
      <c r="A161" s="159"/>
      <c r="B161" s="103"/>
      <c r="C161" s="103"/>
      <c r="D161" s="103"/>
      <c r="E161" s="103"/>
      <c r="F161" s="103"/>
      <c r="G161" s="103"/>
    </row>
    <row r="162" spans="1:7" s="37" customFormat="1" ht="10.5" customHeight="1" x14ac:dyDescent="0.25">
      <c r="A162" s="130" t="s">
        <v>7</v>
      </c>
      <c r="B162" s="181">
        <f>SUM(B163:B166)</f>
        <v>244</v>
      </c>
      <c r="C162" s="181">
        <f t="shared" ref="C162:D162" si="25">SUM(C163:C166)</f>
        <v>222</v>
      </c>
      <c r="D162" s="181">
        <f t="shared" si="25"/>
        <v>22</v>
      </c>
      <c r="E162" s="181">
        <v>148004</v>
      </c>
      <c r="F162" s="181">
        <v>134854</v>
      </c>
      <c r="G162" s="181">
        <v>13150</v>
      </c>
    </row>
    <row r="163" spans="1:7" s="37" customFormat="1" ht="10.5" customHeight="1" x14ac:dyDescent="0.25">
      <c r="A163" s="192" t="s">
        <v>84</v>
      </c>
      <c r="B163" s="15">
        <v>113</v>
      </c>
      <c r="C163" s="15">
        <v>102</v>
      </c>
      <c r="D163" s="15">
        <v>11</v>
      </c>
      <c r="E163" s="15">
        <v>56898</v>
      </c>
      <c r="F163" s="15">
        <v>52756</v>
      </c>
      <c r="G163" s="15">
        <v>4142</v>
      </c>
    </row>
    <row r="164" spans="1:7" s="37" customFormat="1" ht="10.5" customHeight="1" x14ac:dyDescent="0.25">
      <c r="A164" s="192" t="s">
        <v>2</v>
      </c>
      <c r="B164" s="15">
        <v>91</v>
      </c>
      <c r="C164" s="15">
        <v>87</v>
      </c>
      <c r="D164" s="15">
        <v>4</v>
      </c>
      <c r="E164" s="15">
        <v>41600</v>
      </c>
      <c r="F164" s="15">
        <v>37985</v>
      </c>
      <c r="G164" s="15">
        <v>3615</v>
      </c>
    </row>
    <row r="165" spans="1:7" s="37" customFormat="1" ht="10.5" customHeight="1" x14ac:dyDescent="0.25">
      <c r="A165" s="192" t="s">
        <v>85</v>
      </c>
      <c r="B165" s="15">
        <v>27</v>
      </c>
      <c r="C165" s="15">
        <v>20</v>
      </c>
      <c r="D165" s="15">
        <v>7</v>
      </c>
      <c r="E165" s="15">
        <v>29802</v>
      </c>
      <c r="F165" s="15">
        <v>26911</v>
      </c>
      <c r="G165" s="15">
        <v>2891</v>
      </c>
    </row>
    <row r="166" spans="1:7" s="37" customFormat="1" ht="10.5" customHeight="1" x14ac:dyDescent="0.25">
      <c r="A166" s="192" t="s">
        <v>0</v>
      </c>
      <c r="B166" s="15">
        <v>13</v>
      </c>
      <c r="C166" s="15">
        <v>13</v>
      </c>
      <c r="D166" s="15">
        <v>0</v>
      </c>
      <c r="E166" s="15">
        <v>19704</v>
      </c>
      <c r="F166" s="15">
        <v>17202</v>
      </c>
      <c r="G166" s="15">
        <v>2502</v>
      </c>
    </row>
    <row r="167" spans="1:7" s="37" customFormat="1" ht="10.5" customHeight="1" x14ac:dyDescent="0.25">
      <c r="A167" s="133"/>
      <c r="B167" s="103"/>
      <c r="C167" s="103"/>
      <c r="D167" s="103"/>
      <c r="E167" s="103"/>
      <c r="F167" s="103"/>
      <c r="G167" s="103"/>
    </row>
    <row r="168" spans="1:7" s="37" customFormat="1" ht="10.5" customHeight="1" x14ac:dyDescent="0.25">
      <c r="A168" s="130" t="s">
        <v>6</v>
      </c>
      <c r="B168" s="181">
        <f>SUM(B169:B172)</f>
        <v>112</v>
      </c>
      <c r="C168" s="181">
        <f t="shared" ref="C168:D168" si="26">SUM(C169:C172)</f>
        <v>110</v>
      </c>
      <c r="D168" s="181">
        <f t="shared" si="26"/>
        <v>2</v>
      </c>
      <c r="E168" s="181">
        <v>140548</v>
      </c>
      <c r="F168" s="181">
        <v>131197</v>
      </c>
      <c r="G168" s="181">
        <v>9351</v>
      </c>
    </row>
    <row r="169" spans="1:7" s="37" customFormat="1" ht="10.5" customHeight="1" x14ac:dyDescent="0.25">
      <c r="A169" s="192" t="s">
        <v>84</v>
      </c>
      <c r="B169" s="15">
        <v>69</v>
      </c>
      <c r="C169" s="15">
        <v>69</v>
      </c>
      <c r="D169" s="15">
        <v>0</v>
      </c>
      <c r="E169" s="15">
        <v>49566</v>
      </c>
      <c r="F169" s="15">
        <v>46406</v>
      </c>
      <c r="G169" s="15">
        <v>3160</v>
      </c>
    </row>
    <row r="170" spans="1:7" s="37" customFormat="1" ht="10.5" customHeight="1" x14ac:dyDescent="0.25">
      <c r="A170" s="192" t="s">
        <v>2</v>
      </c>
      <c r="B170" s="15">
        <v>29</v>
      </c>
      <c r="C170" s="15">
        <v>27</v>
      </c>
      <c r="D170" s="15">
        <v>2</v>
      </c>
      <c r="E170" s="15">
        <v>41513</v>
      </c>
      <c r="F170" s="15">
        <v>38760</v>
      </c>
      <c r="G170" s="15">
        <v>2753</v>
      </c>
    </row>
    <row r="171" spans="1:7" s="37" customFormat="1" ht="10.5" customHeight="1" x14ac:dyDescent="0.25">
      <c r="A171" s="192" t="s">
        <v>85</v>
      </c>
      <c r="B171" s="15">
        <v>9</v>
      </c>
      <c r="C171" s="15">
        <v>9</v>
      </c>
      <c r="D171" s="15">
        <v>0</v>
      </c>
      <c r="E171" s="15">
        <v>29984</v>
      </c>
      <c r="F171" s="15">
        <v>28104</v>
      </c>
      <c r="G171" s="15">
        <v>1880</v>
      </c>
    </row>
    <row r="172" spans="1:7" s="37" customFormat="1" ht="10.5" customHeight="1" x14ac:dyDescent="0.25">
      <c r="A172" s="192" t="s">
        <v>0</v>
      </c>
      <c r="B172" s="15">
        <v>5</v>
      </c>
      <c r="C172" s="15">
        <v>5</v>
      </c>
      <c r="D172" s="15">
        <v>0</v>
      </c>
      <c r="E172" s="15">
        <v>19485</v>
      </c>
      <c r="F172" s="15">
        <v>17927</v>
      </c>
      <c r="G172" s="15">
        <v>1558</v>
      </c>
    </row>
    <row r="173" spans="1:7" s="37" customFormat="1" ht="10.5" customHeight="1" x14ac:dyDescent="0.25">
      <c r="A173" s="159"/>
      <c r="B173" s="103"/>
      <c r="C173" s="103"/>
      <c r="D173" s="103"/>
      <c r="E173" s="103"/>
      <c r="F173" s="103"/>
      <c r="G173" s="103"/>
    </row>
    <row r="174" spans="1:7" s="37" customFormat="1" ht="10.5" customHeight="1" x14ac:dyDescent="0.25">
      <c r="A174" s="130" t="s">
        <v>5</v>
      </c>
      <c r="B174" s="181">
        <f>SUM(B175:B178)</f>
        <v>33616</v>
      </c>
      <c r="C174" s="181">
        <f t="shared" ref="C174:D174" si="27">SUM(C175:C178)</f>
        <v>11283</v>
      </c>
      <c r="D174" s="181">
        <f t="shared" si="27"/>
        <v>22333</v>
      </c>
      <c r="E174" s="181">
        <v>276116</v>
      </c>
      <c r="F174" s="181">
        <v>246324</v>
      </c>
      <c r="G174" s="181">
        <v>29792</v>
      </c>
    </row>
    <row r="175" spans="1:7" s="37" customFormat="1" ht="10.5" customHeight="1" x14ac:dyDescent="0.25">
      <c r="A175" s="192" t="s">
        <v>84</v>
      </c>
      <c r="B175" s="15">
        <v>15857</v>
      </c>
      <c r="C175" s="15">
        <v>5294</v>
      </c>
      <c r="D175" s="15">
        <v>10563</v>
      </c>
      <c r="E175" s="15">
        <v>107436</v>
      </c>
      <c r="F175" s="15">
        <v>95731</v>
      </c>
      <c r="G175" s="15">
        <v>11705</v>
      </c>
    </row>
    <row r="176" spans="1:7" s="37" customFormat="1" ht="10.5" customHeight="1" x14ac:dyDescent="0.25">
      <c r="A176" s="192" t="s">
        <v>2</v>
      </c>
      <c r="B176" s="15">
        <v>9650</v>
      </c>
      <c r="C176" s="15">
        <v>3284</v>
      </c>
      <c r="D176" s="15">
        <v>6366</v>
      </c>
      <c r="E176" s="15">
        <v>81559</v>
      </c>
      <c r="F176" s="15">
        <v>72905</v>
      </c>
      <c r="G176" s="15">
        <v>8654</v>
      </c>
    </row>
    <row r="177" spans="1:7" s="37" customFormat="1" ht="10.5" customHeight="1" x14ac:dyDescent="0.25">
      <c r="A177" s="192" t="s">
        <v>85</v>
      </c>
      <c r="B177" s="15">
        <v>5383</v>
      </c>
      <c r="C177" s="15">
        <v>1782</v>
      </c>
      <c r="D177" s="15">
        <v>3601</v>
      </c>
      <c r="E177" s="15">
        <v>53866</v>
      </c>
      <c r="F177" s="15">
        <v>48118</v>
      </c>
      <c r="G177" s="15">
        <v>5748</v>
      </c>
    </row>
    <row r="178" spans="1:7" s="37" customFormat="1" ht="10.5" customHeight="1" x14ac:dyDescent="0.25">
      <c r="A178" s="192" t="s">
        <v>0</v>
      </c>
      <c r="B178" s="15">
        <v>2726</v>
      </c>
      <c r="C178" s="15">
        <v>923</v>
      </c>
      <c r="D178" s="15">
        <v>1803</v>
      </c>
      <c r="E178" s="15">
        <v>33255</v>
      </c>
      <c r="F178" s="15">
        <v>29570</v>
      </c>
      <c r="G178" s="15">
        <v>3685</v>
      </c>
    </row>
    <row r="179" spans="1:7" s="37" customFormat="1" ht="10.5" customHeight="1" x14ac:dyDescent="0.25">
      <c r="A179" s="159"/>
      <c r="B179" s="103"/>
      <c r="C179" s="103"/>
      <c r="D179" s="103"/>
      <c r="E179" s="103"/>
      <c r="F179" s="103"/>
      <c r="G179" s="103"/>
    </row>
    <row r="180" spans="1:7" s="37" customFormat="1" ht="10.5" customHeight="1" x14ac:dyDescent="0.25">
      <c r="A180" s="138" t="s">
        <v>129</v>
      </c>
      <c r="B180" s="179">
        <f>SUM(B181:B184)</f>
        <v>14654</v>
      </c>
      <c r="C180" s="179">
        <f t="shared" ref="C180:D180" si="28">SUM(C181:C184)</f>
        <v>14651</v>
      </c>
      <c r="D180" s="179">
        <f t="shared" si="28"/>
        <v>3</v>
      </c>
      <c r="E180" s="179">
        <v>5423855</v>
      </c>
      <c r="F180" s="179">
        <v>5419936</v>
      </c>
      <c r="G180" s="179">
        <v>3919</v>
      </c>
    </row>
    <row r="181" spans="1:7" s="37" customFormat="1" ht="10.5" customHeight="1" x14ac:dyDescent="0.25">
      <c r="A181" s="192" t="s">
        <v>84</v>
      </c>
      <c r="B181" s="15">
        <v>6310</v>
      </c>
      <c r="C181" s="15">
        <v>6307</v>
      </c>
      <c r="D181" s="15">
        <v>3</v>
      </c>
      <c r="E181" s="15">
        <v>1896083</v>
      </c>
      <c r="F181" s="15">
        <v>1894523</v>
      </c>
      <c r="G181" s="15">
        <v>1560</v>
      </c>
    </row>
    <row r="182" spans="1:7" s="37" customFormat="1" ht="10.5" customHeight="1" x14ac:dyDescent="0.25">
      <c r="A182" s="192" t="s">
        <v>2</v>
      </c>
      <c r="B182" s="15">
        <v>4858</v>
      </c>
      <c r="C182" s="15">
        <v>4858</v>
      </c>
      <c r="D182" s="15">
        <v>0</v>
      </c>
      <c r="E182" s="15">
        <v>1550720</v>
      </c>
      <c r="F182" s="15">
        <v>1549520</v>
      </c>
      <c r="G182" s="15">
        <v>1200</v>
      </c>
    </row>
    <row r="183" spans="1:7" s="37" customFormat="1" ht="10.5" customHeight="1" x14ac:dyDescent="0.25">
      <c r="A183" s="192" t="s">
        <v>85</v>
      </c>
      <c r="B183" s="15">
        <v>2241</v>
      </c>
      <c r="C183" s="15">
        <v>2241</v>
      </c>
      <c r="D183" s="15">
        <v>0</v>
      </c>
      <c r="E183" s="15">
        <v>1105475</v>
      </c>
      <c r="F183" s="15">
        <v>1104775</v>
      </c>
      <c r="G183" s="15">
        <v>700</v>
      </c>
    </row>
    <row r="184" spans="1:7" s="37" customFormat="1" ht="10.5" customHeight="1" x14ac:dyDescent="0.25">
      <c r="A184" s="192" t="s">
        <v>0</v>
      </c>
      <c r="B184" s="15">
        <v>1245</v>
      </c>
      <c r="C184" s="15">
        <v>1245</v>
      </c>
      <c r="D184" s="15">
        <v>0</v>
      </c>
      <c r="E184" s="15">
        <v>871577</v>
      </c>
      <c r="F184" s="15">
        <v>871118</v>
      </c>
      <c r="G184" s="15">
        <v>459</v>
      </c>
    </row>
    <row r="185" spans="1:7" s="37" customFormat="1" ht="10.5" customHeight="1" x14ac:dyDescent="0.25">
      <c r="A185" s="192"/>
      <c r="B185" s="103"/>
      <c r="C185" s="103"/>
      <c r="D185" s="103"/>
      <c r="E185" s="103"/>
      <c r="F185" s="103"/>
      <c r="G185" s="103"/>
    </row>
    <row r="186" spans="1:7" s="37" customFormat="1" ht="10.5" customHeight="1" x14ac:dyDescent="0.25">
      <c r="A186" s="139" t="s">
        <v>130</v>
      </c>
      <c r="B186" s="179">
        <f>SUM(B187:B190)</f>
        <v>505</v>
      </c>
      <c r="C186" s="179">
        <f t="shared" ref="C186:D186" si="29">SUM(C187:C190)</f>
        <v>455</v>
      </c>
      <c r="D186" s="179">
        <f t="shared" si="29"/>
        <v>50</v>
      </c>
      <c r="E186" s="179">
        <v>539927</v>
      </c>
      <c r="F186" s="179">
        <v>446551</v>
      </c>
      <c r="G186" s="179">
        <v>93376</v>
      </c>
    </row>
    <row r="187" spans="1:7" s="37" customFormat="1" ht="10.5" customHeight="1" x14ac:dyDescent="0.25">
      <c r="A187" s="192" t="s">
        <v>84</v>
      </c>
      <c r="B187" s="15">
        <v>222</v>
      </c>
      <c r="C187" s="15">
        <v>200</v>
      </c>
      <c r="D187" s="15">
        <v>22</v>
      </c>
      <c r="E187" s="15">
        <v>187804</v>
      </c>
      <c r="F187" s="15">
        <v>159958</v>
      </c>
      <c r="G187" s="15">
        <v>27846</v>
      </c>
    </row>
    <row r="188" spans="1:7" s="37" customFormat="1" ht="10.5" customHeight="1" x14ac:dyDescent="0.25">
      <c r="A188" s="192" t="s">
        <v>2</v>
      </c>
      <c r="B188" s="15">
        <v>183</v>
      </c>
      <c r="C188" s="15">
        <v>161</v>
      </c>
      <c r="D188" s="15">
        <v>22</v>
      </c>
      <c r="E188" s="15">
        <v>149343</v>
      </c>
      <c r="F188" s="15">
        <v>124559</v>
      </c>
      <c r="G188" s="15">
        <v>24784</v>
      </c>
    </row>
    <row r="189" spans="1:7" s="37" customFormat="1" ht="10.5" customHeight="1" x14ac:dyDescent="0.25">
      <c r="A189" s="192" t="s">
        <v>85</v>
      </c>
      <c r="B189" s="15">
        <v>69</v>
      </c>
      <c r="C189" s="15">
        <v>65</v>
      </c>
      <c r="D189" s="15">
        <v>4</v>
      </c>
      <c r="E189" s="15">
        <v>109818</v>
      </c>
      <c r="F189" s="15">
        <v>89652</v>
      </c>
      <c r="G189" s="15">
        <v>20166</v>
      </c>
    </row>
    <row r="190" spans="1:7" s="37" customFormat="1" ht="10.5" customHeight="1" x14ac:dyDescent="0.25">
      <c r="A190" s="192" t="s">
        <v>0</v>
      </c>
      <c r="B190" s="15">
        <v>31</v>
      </c>
      <c r="C190" s="15">
        <v>29</v>
      </c>
      <c r="D190" s="15">
        <v>2</v>
      </c>
      <c r="E190" s="15">
        <v>92962</v>
      </c>
      <c r="F190" s="15">
        <v>72382</v>
      </c>
      <c r="G190" s="15">
        <v>20580</v>
      </c>
    </row>
    <row r="191" spans="1:7" s="37" customFormat="1" ht="3" customHeight="1" thickBot="1" x14ac:dyDescent="0.3">
      <c r="A191" s="140"/>
      <c r="B191" s="141"/>
      <c r="C191" s="141"/>
      <c r="D191" s="141"/>
      <c r="E191" s="197"/>
      <c r="F191" s="197"/>
      <c r="G191" s="197"/>
    </row>
    <row r="192" spans="1:7" s="37" customFormat="1" ht="3" customHeight="1" x14ac:dyDescent="0.25">
      <c r="A192" s="21"/>
      <c r="B192" s="19"/>
      <c r="C192" s="19"/>
      <c r="D192" s="19"/>
      <c r="E192" s="40"/>
      <c r="F192" s="40"/>
      <c r="G192" s="40"/>
    </row>
    <row r="193" spans="1:7" customFormat="1" ht="28.5" customHeight="1" x14ac:dyDescent="0.2">
      <c r="A193" s="221" t="s">
        <v>119</v>
      </c>
      <c r="B193" s="213"/>
      <c r="C193" s="213"/>
      <c r="D193" s="213"/>
      <c r="E193" s="213"/>
      <c r="F193" s="213"/>
      <c r="G193" s="213"/>
    </row>
    <row r="194" spans="1:7" customFormat="1" ht="13.5" x14ac:dyDescent="0.25">
      <c r="A194" s="199" t="s">
        <v>86</v>
      </c>
      <c r="B194" s="199"/>
      <c r="C194" s="199"/>
      <c r="D194" s="199"/>
      <c r="E194" s="36"/>
      <c r="F194" s="36"/>
      <c r="G194" s="36"/>
    </row>
    <row r="195" spans="1:7" customFormat="1" ht="13.5" x14ac:dyDescent="0.25">
      <c r="A195" s="199" t="s">
        <v>87</v>
      </c>
      <c r="B195" s="199"/>
      <c r="C195" s="199"/>
      <c r="D195" s="199"/>
      <c r="E195" s="36"/>
      <c r="F195" s="36"/>
      <c r="G195" s="36"/>
    </row>
    <row r="196" spans="1:7" customFormat="1" ht="25.5" customHeight="1" x14ac:dyDescent="0.25">
      <c r="A196" s="235" t="s">
        <v>118</v>
      </c>
      <c r="B196" s="213"/>
      <c r="C196" s="213"/>
      <c r="D196" s="213"/>
      <c r="E196" s="213"/>
      <c r="F196" s="213"/>
      <c r="G196" s="213"/>
    </row>
  </sheetData>
  <mergeCells count="20">
    <mergeCell ref="A141:A142"/>
    <mergeCell ref="B141:D141"/>
    <mergeCell ref="E141:G141"/>
    <mergeCell ref="A193:G193"/>
    <mergeCell ref="A196:G196"/>
    <mergeCell ref="A1:G1"/>
    <mergeCell ref="A2:G2"/>
    <mergeCell ref="A3:G3"/>
    <mergeCell ref="A5:A6"/>
    <mergeCell ref="B5:D5"/>
    <mergeCell ref="E5:G5"/>
    <mergeCell ref="A137:G137"/>
    <mergeCell ref="A138:G138"/>
    <mergeCell ref="A139:G139"/>
    <mergeCell ref="A69:G69"/>
    <mergeCell ref="A70:G70"/>
    <mergeCell ref="A71:G71"/>
    <mergeCell ref="A73:A74"/>
    <mergeCell ref="B73:D73"/>
    <mergeCell ref="E73:G73"/>
  </mergeCells>
  <pageMargins left="0.98425196850393704" right="0.98425196850393704" top="0.98425196850393704" bottom="0.98425196850393704" header="0.98425196850393704" footer="0.98425196850393704"/>
  <pageSetup paperSize="9" scale="99" orientation="portrait" r:id="rId1"/>
  <rowBreaks count="1" manualBreakCount="1">
    <brk id="68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12</vt:i4>
      </vt:variant>
    </vt:vector>
  </HeadingPairs>
  <TitlesOfParts>
    <vt:vector size="25" baseType="lpstr">
      <vt:lpstr>POBLACIÓN AMAZONICA</vt:lpstr>
      <vt:lpstr>Ane. 2.1</vt:lpstr>
      <vt:lpstr>Ane. 2.2</vt:lpstr>
      <vt:lpstr>Ane. 2.3</vt:lpstr>
      <vt:lpstr>Ane. 2.4</vt:lpstr>
      <vt:lpstr>Ane. 2.5</vt:lpstr>
      <vt:lpstr>Ane. 2.6</vt:lpstr>
      <vt:lpstr>Ane. 2.7</vt:lpstr>
      <vt:lpstr>Ane. 2.8</vt:lpstr>
      <vt:lpstr>Ane. 2.9</vt:lpstr>
      <vt:lpstr>Ane. 2.10</vt:lpstr>
      <vt:lpstr>Ane. 2.11</vt:lpstr>
      <vt:lpstr>Ane. 2.12</vt:lpstr>
      <vt:lpstr>'Ane. 2.1'!Área_de_impresión</vt:lpstr>
      <vt:lpstr>'Ane. 2.10'!Área_de_impresión</vt:lpstr>
      <vt:lpstr>'Ane. 2.11'!Área_de_impresión</vt:lpstr>
      <vt:lpstr>'Ane. 2.12'!Área_de_impresión</vt:lpstr>
      <vt:lpstr>'Ane. 2.2'!Área_de_impresión</vt:lpstr>
      <vt:lpstr>'Ane. 2.3'!Área_de_impresión</vt:lpstr>
      <vt:lpstr>'Ane. 2.4'!Área_de_impresión</vt:lpstr>
      <vt:lpstr>'Ane. 2.5'!Área_de_impresión</vt:lpstr>
      <vt:lpstr>'Ane. 2.6'!Área_de_impresión</vt:lpstr>
      <vt:lpstr>'Ane. 2.7'!Área_de_impresión</vt:lpstr>
      <vt:lpstr>'Ane. 2.8'!Área_de_impresión</vt:lpstr>
      <vt:lpstr>'Ane. 2.9'!Área_de_impresión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Ruiz Torres</dc:creator>
  <cp:lastModifiedBy>Guido Trujillo Valdiviezo</cp:lastModifiedBy>
  <cp:lastPrinted>2019-01-04T22:24:06Z</cp:lastPrinted>
  <dcterms:created xsi:type="dcterms:W3CDTF">2018-12-14T16:05:46Z</dcterms:created>
  <dcterms:modified xsi:type="dcterms:W3CDTF">2019-03-20T14:17:58Z</dcterms:modified>
</cp:coreProperties>
</file>